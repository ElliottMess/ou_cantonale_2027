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Projects\votelec\workspace\ev-votelec-dev\code\votelec-publication\src\main\resources\templates\xlsx\votation\"/>
    </mc:Choice>
  </mc:AlternateContent>
  <bookViews>
    <workbookView xWindow="330" yWindow="2775" windowWidth="17100" windowHeight="9345" activeTab="0"/>
  </bookViews>
  <sheets>
    <sheet name="Résultats du 14.06.2026" sheetId="7" r:id="rId1"/>
  </sheets>
  <definedNames>
    <definedName name="_xlnm.Print_Titles" localSheetId="0">'Résultats du 14.06.2026'!$A$1:$XFD$2</definedName>
  </definedNames>
  <calcPr calcId="152511"/>
</workbook>
</file>

<file path=xl/sharedStrings.xml><?xml version="1.0" encoding="utf-8"?>
<sst xmlns="http://schemas.openxmlformats.org/spreadsheetml/2006/main" count="396" uniqueCount="331">
  <si>
    <t>Canton de Vaud</t>
  </si>
  <si>
    <t>Question subsidiaire</t>
  </si>
  <si>
    <t xml:space="preserve"> Commune</t>
  </si>
  <si>
    <t xml:space="preserve"> Electeurs inscrits</t>
  </si>
  <si>
    <t xml:space="preserve"> Bulletin rentrés</t>
  </si>
  <si>
    <t xml:space="preserve"> Blancs</t>
  </si>
  <si>
    <t xml:space="preserve"> Nuls</t>
  </si>
  <si>
    <t xml:space="preserve"> Valables</t>
  </si>
  <si>
    <t xml:space="preserve"> Part en %</t>
  </si>
  <si>
    <t xml:space="preserve"> Sans réponse</t>
  </si>
  <si>
    <t xml:space="preserve"> Oui</t>
  </si>
  <si>
    <t xml:space="preserve"> %</t>
  </si>
  <si>
    <t xml:space="preserve"> Non</t>
  </si>
  <si>
    <t xml:space="preserve"> Oui </t>
  </si>
  <si>
    <t>Initiative</t>
  </si>
  <si>
    <t>Contre-projet</t>
  </si>
  <si>
    <t>Objet N°</t>
  </si>
  <si>
    <t xml:space="preserve">District </t>
  </si>
  <si>
    <t>(en cours de dépouillement)</t>
  </si>
  <si>
    <t/>
  </si>
  <si>
    <t xml:space="preserve">Objet N°02 : Initiative législative «salaire minimum cantonal»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</si>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</sst>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right" vertical="center" textRotation="90" wrapText="1"/>
    </xf>
    <xf numFmtId="0" fontId="2" fillId="0" borderId="5" xfId="0" applyFont="1" applyFill="1" applyBorder="1" applyAlignment="1">
      <alignment horizontal="right" vertical="center" textRotation="90" wrapText="1"/>
    </xf>
    <xf numFmtId="2" fontId="2" fillId="0" borderId="5" xfId="0" applyNumberFormat="1" applyFont="1" applyFill="1" applyBorder="1" applyAlignment="1">
      <alignment horizontal="right" vertical="center" textRotation="90" wrapText="1"/>
    </xf>
    <xf numFmtId="0" fontId="2" fillId="2" borderId="5" xfId="0" applyFont="1" applyFill="1" applyBorder="1" applyAlignment="1">
      <alignment horizontal="right" vertical="center" textRotation="90" wrapText="1"/>
    </xf>
    <xf numFmtId="2" fontId="2" fillId="2" borderId="5" xfId="0" applyNumberFormat="1" applyFont="1" applyFill="1" applyBorder="1" applyAlignment="1">
      <alignment horizontal="right" vertical="center" textRotation="90" wrapText="1"/>
    </xf>
    <xf numFmtId="2" fontId="2" fillId="0" borderId="5" xfId="0" applyNumberFormat="1" applyFont="1" applyBorder="1" applyAlignment="1">
      <alignment horizontal="right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0" fontId="3" fillId="0" borderId="5" xfId="0" applyNumberFormat="1" applyFont="1" applyBorder="1" applyAlignment="1">
      <alignment vertical="center" wrapText="1"/>
    </xf>
    <xf numFmtId="10" fontId="2" fillId="0" borderId="5" xfId="0" applyNumberFormat="1" applyFont="1" applyBorder="1" applyAlignment="1">
      <alignment vertical="center" wrapText="1"/>
    </xf>
    <xf numFmtId="10" fontId="3" fillId="2" borderId="5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 applyAlignment="1">
      <alignment horizontal="right" vertical="center" textRotation="90" wrapText="1"/>
    </xf>
    <xf numFmtId="2" fontId="2" fillId="0" borderId="0" xfId="0" applyNumberFormat="1" applyFont="1" applyFill="1" applyBorder="1" applyAlignment="1">
      <alignment horizontal="right" vertical="center" textRotation="90" wrapText="1"/>
    </xf>
    <xf numFmtId="0" fontId="2" fillId="3" borderId="0" xfId="0" applyFont="1" applyFill="1" applyAlignment="1">
      <alignment vertical="center" wrapText="1"/>
    </xf>
    <xf numFmtId="2" fontId="4" fillId="0" borderId="0" xfId="0" applyNumberFormat="1" applyFont="1" applyFill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left" vertical="center" wrapText="1"/>
    </xf>
    <xf numFmtId="2" fontId="4" fillId="0" borderId="3" xfId="0" applyNumberFormat="1" applyFont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left" vertical="center" wrapText="1"/>
    </xf>
  </cellXfs>
  <cellStyles count="2">
    <cellStyle name="Normal" xfId="0" builtinId="0"/>
    <cellStyle name="Standard_i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5"/>
  <sheetViews>
    <sheetView zoomScaleNormal="100" workbookViewId="0">
      <pane ySplit="2" topLeftCell="A3" activePane="bottomLeft" state="frozen"/>
      <selection pane="bottomLeft" sqref="A1:G1"/>
    </sheetView>
  </sheetViews>
  <sheetFormatPr defaultRowHeight="12.75" x14ac:dyDescent="0.2"/>
  <cols>
    <col min="1" max="1" bestFit="true" customWidth="true" style="2" width="25.0"/>
    <col min="2" max="3" customWidth="true" style="6" width="6.140625"/>
    <col min="4" max="4" bestFit="true" customWidth="true" style="6" width="4.5703125"/>
    <col min="5" max="5" bestFit="true" customWidth="true" style="6" width="3.7109375"/>
    <col min="6" max="6" customWidth="true" style="6" width="6.140625"/>
    <col min="7" max="7" bestFit="true" customWidth="true" style="6" width="6.28515625"/>
    <col min="8" max="8" bestFit="true" customWidth="true" style="6" width="4.5703125"/>
    <col min="9" max="10" bestFit="true" customWidth="true" style="6" width="6.28515625"/>
    <col min="11" max="11" bestFit="true" customWidth="true" style="6" width="6.140625"/>
    <col min="12" max="12" bestFit="true" customWidth="true" style="6" width="6.28515625"/>
    <col min="13" max="13" bestFit="true" customWidth="true" style="6" width="4.5703125"/>
    <col min="14" max="14" customWidth="true" style="6" width="6.140625"/>
    <col min="15" max="15" bestFit="true" customWidth="true" style="6" width="6.28515625"/>
    <col min="16" max="16" bestFit="true" customWidth="true" style="6" width="6.140625"/>
    <col min="17" max="17" bestFit="true" customWidth="true" style="6" width="6.28515625"/>
    <col min="18" max="18" bestFit="true" customWidth="true" style="6" width="5.28515625"/>
    <col min="19" max="19" bestFit="true" customWidth="true" style="6" width="5.42578125"/>
    <col min="20" max="20" bestFit="true" customWidth="true" style="6" width="6.28515625"/>
    <col min="21" max="21" bestFit="true" customWidth="true" style="6" width="6.140625"/>
    <col min="22" max="22" bestFit="true" customWidth="true" style="6" width="6.28515625"/>
  </cols>
  <sheetData>
    <row r="1">
      <c r="A1" t="s" s="31">
        <v>20</v>
      </c>
      <c r="B1" t="s" s="32">
        <v>19</v>
      </c>
      <c r="C1" t="s" s="32">
        <v>19</v>
      </c>
      <c r="D1" t="s" s="32">
        <v>19</v>
      </c>
      <c r="E1" t="s" s="32">
        <v>19</v>
      </c>
      <c r="F1" t="s" s="32">
        <v>19</v>
      </c>
      <c r="G1" t="s" s="32">
        <v>19</v>
      </c>
      <c r="H1" t="s" s="33">
        <v>14</v>
      </c>
      <c r="I1" t="s" s="32">
        <v>19</v>
      </c>
      <c r="J1" t="s" s="32">
        <v>19</v>
      </c>
      <c r="K1" t="s" s="32">
        <v>19</v>
      </c>
      <c r="L1" t="s" s="34">
        <v>19</v>
      </c>
      <c r="M1" t="s" s="31">
        <v>15</v>
      </c>
      <c r="N1" t="s" s="32">
        <v>19</v>
      </c>
      <c r="O1" t="s" s="32">
        <v>19</v>
      </c>
      <c r="P1" t="s" s="32">
        <v>19</v>
      </c>
      <c r="Q1" t="s" s="34">
        <v>19</v>
      </c>
      <c r="R1" t="s" s="33">
        <v>1</v>
      </c>
      <c r="S1" t="s" s="32">
        <v>19</v>
      </c>
      <c r="T1" t="s" s="32">
        <v>19</v>
      </c>
      <c r="U1" t="s" s="32">
        <v>19</v>
      </c>
      <c r="V1" t="s" s="34">
        <v>19</v>
      </c>
    </row>
    <row r="2">
      <c r="A2" t="s" s="7">
        <v>2</v>
      </c>
      <c r="B2" t="s" s="8">
        <v>3</v>
      </c>
      <c r="C2" t="s" s="9">
        <v>4</v>
      </c>
      <c r="D2" t="s" s="9">
        <v>5</v>
      </c>
      <c r="E2" t="s" s="9">
        <v>6</v>
      </c>
      <c r="F2" t="s" s="9">
        <v>7</v>
      </c>
      <c r="G2" t="s" s="10">
        <v>8</v>
      </c>
      <c r="H2" t="s" s="11">
        <v>9</v>
      </c>
      <c r="I2" t="s" s="11">
        <v>10</v>
      </c>
      <c r="J2" t="s" s="12">
        <v>11</v>
      </c>
      <c r="K2" t="s" s="11">
        <v>12</v>
      </c>
      <c r="L2" t="s" s="12">
        <v>11</v>
      </c>
      <c r="M2" t="s" s="8">
        <v>9</v>
      </c>
      <c r="N2" t="s" s="8">
        <v>13</v>
      </c>
      <c r="O2" t="s" s="13">
        <v>11</v>
      </c>
      <c r="P2" t="s" s="8">
        <v>12</v>
      </c>
      <c r="Q2" t="s" s="13">
        <v>11</v>
      </c>
      <c r="R2" t="s" s="11">
        <v>9</v>
      </c>
      <c r="S2" t="s" s="11">
        <v>14</v>
      </c>
      <c r="T2" t="s" s="12">
        <v>11</v>
      </c>
      <c r="U2" t="s" s="11">
        <v>15</v>
      </c>
      <c r="V2" t="s" s="12">
        <v>11</v>
      </c>
    </row>
    <row r="3"/>
    <row r="4">
      <c r="A4" t="s" s="15">
        <v>21</v>
      </c>
    </row>
    <row r="5">
      <c r="A5" t="s" s="16">
        <v>22</v>
      </c>
      <c r="B5" t="n" s="16">
        <v>5438.0</v>
      </c>
      <c r="C5" t="n" s="16">
        <v>2715.0</v>
      </c>
      <c r="D5" t="n" s="16">
        <v>192.0</v>
      </c>
      <c r="E5" t="n" s="16">
        <v>1.0</v>
      </c>
      <c r="F5" t="n" s="16">
        <v>2714.0</v>
      </c>
      <c r="G5" s="21">
        <f>C5/B5</f>
      </c>
      <c r="H5" t="n" s="17">
        <v>51.0</v>
      </c>
      <c r="I5" t="n" s="17">
        <v>1188.0</v>
      </c>
      <c r="J5" s="23">
        <f>I5/F5</f>
      </c>
      <c r="K5" t="n" s="17">
        <v>1283.0</v>
      </c>
      <c r="L5" s="23">
        <f>K5/F5</f>
      </c>
      <c r="M5" t="n" s="16">
        <v>66.0</v>
      </c>
      <c r="N5" t="n" s="16">
        <v>1223.0</v>
      </c>
      <c r="O5" s="21">
        <f>N5/F5</f>
      </c>
      <c r="P5" t="n" s="16">
        <v>1233.0</v>
      </c>
      <c r="Q5" s="21">
        <f>P5/F5</f>
      </c>
      <c r="R5" t="n" s="17">
        <v>121.0</v>
      </c>
      <c r="S5" t="n" s="17">
        <v>1115.0</v>
      </c>
      <c r="T5" s="23">
        <f>S5/F5</f>
      </c>
      <c r="U5" t="n" s="17">
        <v>1286.0</v>
      </c>
      <c r="V5" s="23">
        <f>U5/F5</f>
      </c>
    </row>
    <row r="6">
      <c r="A6" t="s" s="16">
        <v>23</v>
      </c>
      <c r="B6" t="n" s="16">
        <v>4605.0</v>
      </c>
      <c r="C6" t="n" s="16">
        <v>2280.0</v>
      </c>
      <c r="D6" t="n" s="16">
        <v>170.0</v>
      </c>
      <c r="E6" t="n" s="16">
        <v>0.0</v>
      </c>
      <c r="F6" t="n" s="16">
        <v>2280.0</v>
      </c>
      <c r="G6" s="21">
        <f>C6/B6</f>
      </c>
      <c r="H6" t="n" s="17">
        <v>32.0</v>
      </c>
      <c r="I6" t="n" s="17">
        <v>1037.0</v>
      </c>
      <c r="J6" s="23">
        <f>I6/F6</f>
      </c>
      <c r="K6" t="n" s="17">
        <v>1041.0</v>
      </c>
      <c r="L6" s="23">
        <f>K6/F6</f>
      </c>
      <c r="M6" t="n" s="16">
        <v>58.0</v>
      </c>
      <c r="N6" t="n" s="16">
        <v>1019.0</v>
      </c>
      <c r="O6" s="21">
        <f>N6/F6</f>
      </c>
      <c r="P6" t="n" s="16">
        <v>1033.0</v>
      </c>
      <c r="Q6" s="21">
        <f>P6/F6</f>
      </c>
      <c r="R6" t="n" s="17">
        <v>88.0</v>
      </c>
      <c r="S6" t="n" s="17">
        <v>971.0</v>
      </c>
      <c r="T6" s="23">
        <f>S6/F6</f>
      </c>
      <c r="U6" t="n" s="17">
        <v>1051.0</v>
      </c>
      <c r="V6" s="23">
        <f>U6/F6</f>
      </c>
    </row>
    <row r="7">
      <c r="A7" t="s" s="16">
        <v>24</v>
      </c>
      <c r="B7" t="n" s="16">
        <v>312.0</v>
      </c>
      <c r="C7" t="n" s="16">
        <v>176.0</v>
      </c>
      <c r="D7" t="n" s="16">
        <v>4.0</v>
      </c>
      <c r="E7" t="n" s="16">
        <v>0.0</v>
      </c>
      <c r="F7" t="n" s="16">
        <v>176.0</v>
      </c>
      <c r="G7" s="21">
        <f>C7/B7</f>
      </c>
      <c r="H7" t="n" s="17">
        <v>2.0</v>
      </c>
      <c r="I7" t="n" s="17">
        <v>69.0</v>
      </c>
      <c r="J7" s="23">
        <f>I7/F7</f>
      </c>
      <c r="K7" t="n" s="17">
        <v>101.0</v>
      </c>
      <c r="L7" s="23">
        <f>K7/F7</f>
      </c>
      <c r="M7" t="n" s="16">
        <v>4.0</v>
      </c>
      <c r="N7" t="n" s="16">
        <v>95.0</v>
      </c>
      <c r="O7" s="21">
        <f>N7/F7</f>
      </c>
      <c r="P7" t="n" s="16">
        <v>73.0</v>
      </c>
      <c r="Q7" s="21">
        <f>P7/F7</f>
      </c>
      <c r="R7" t="n" s="17">
        <v>13.0</v>
      </c>
      <c r="S7" t="n" s="17">
        <v>58.0</v>
      </c>
      <c r="T7" s="23">
        <f>S7/F7</f>
      </c>
      <c r="U7" t="n" s="17">
        <v>101.0</v>
      </c>
      <c r="V7" s="23">
        <f>U7/F7</f>
      </c>
    </row>
    <row r="8">
      <c r="A8" t="s" s="16">
        <v>25</v>
      </c>
      <c r="B8" t="n" s="16">
        <v>348.0</v>
      </c>
      <c r="C8" t="n" s="16">
        <v>198.0</v>
      </c>
      <c r="D8" t="n" s="16">
        <v>4.0</v>
      </c>
      <c r="E8" t="n" s="16">
        <v>0.0</v>
      </c>
      <c r="F8" t="n" s="16">
        <v>198.0</v>
      </c>
      <c r="G8" s="21">
        <f>C8/B8</f>
      </c>
      <c r="H8" t="n" s="17">
        <v>4.0</v>
      </c>
      <c r="I8" t="n" s="17">
        <v>99.0</v>
      </c>
      <c r="J8" s="23">
        <f>I8/F8</f>
      </c>
      <c r="K8" t="n" s="17">
        <v>91.0</v>
      </c>
      <c r="L8" s="23">
        <f>K8/F8</f>
      </c>
      <c r="M8" t="n" s="16">
        <v>7.0</v>
      </c>
      <c r="N8" t="n" s="16">
        <v>81.0</v>
      </c>
      <c r="O8" s="21">
        <f>N8/F8</f>
      </c>
      <c r="P8" t="n" s="16">
        <v>106.0</v>
      </c>
      <c r="Q8" s="21">
        <f>P8/F8</f>
      </c>
      <c r="R8" t="n" s="17">
        <v>11.0</v>
      </c>
      <c r="S8" t="n" s="17">
        <v>87.0</v>
      </c>
      <c r="T8" s="23">
        <f>S8/F8</f>
      </c>
      <c r="U8" t="n" s="17">
        <v>96.0</v>
      </c>
      <c r="V8" s="23">
        <f>U8/F8</f>
      </c>
    </row>
    <row r="9">
      <c r="A9" t="s" s="16">
        <v>26</v>
      </c>
      <c r="B9" t="n" s="16">
        <v>886.0</v>
      </c>
      <c r="C9" t="n" s="16">
        <v>518.0</v>
      </c>
      <c r="D9" t="n" s="16">
        <v>41.0</v>
      </c>
      <c r="E9" t="n" s="16">
        <v>1.0</v>
      </c>
      <c r="F9" t="n" s="16">
        <v>517.0</v>
      </c>
      <c r="G9" s="21">
        <f>C9/B9</f>
      </c>
      <c r="H9" t="n" s="17">
        <v>12.0</v>
      </c>
      <c r="I9" t="n" s="17">
        <v>193.0</v>
      </c>
      <c r="J9" s="23">
        <f>I9/F9</f>
      </c>
      <c r="K9" t="n" s="17">
        <v>271.0</v>
      </c>
      <c r="L9" s="23">
        <f>K9/F9</f>
      </c>
      <c r="M9" t="n" s="16">
        <v>12.0</v>
      </c>
      <c r="N9" t="n" s="16">
        <v>271.0</v>
      </c>
      <c r="O9" s="21">
        <f>N9/F9</f>
      </c>
      <c r="P9" t="n" s="16">
        <v>193.0</v>
      </c>
      <c r="Q9" s="21">
        <f>P9/F9</f>
      </c>
      <c r="R9" t="n" s="17">
        <v>25.0</v>
      </c>
      <c r="S9" t="n" s="17">
        <v>177.0</v>
      </c>
      <c r="T9" s="23">
        <f>S9/F9</f>
      </c>
      <c r="U9" t="n" s="17">
        <v>274.0</v>
      </c>
      <c r="V9" s="23">
        <f>U9/F9</f>
      </c>
    </row>
    <row r="10">
      <c r="A10" t="s" s="16">
        <v>27</v>
      </c>
      <c r="B10" t="n" s="16">
        <v>633.0</v>
      </c>
      <c r="C10" t="n" s="16">
        <v>318.0</v>
      </c>
      <c r="D10" t="n" s="16">
        <v>0.0</v>
      </c>
      <c r="E10" t="n" s="16">
        <v>0.0</v>
      </c>
      <c r="F10" t="n" s="16">
        <v>318.0</v>
      </c>
      <c r="G10" s="21">
        <f>C10/B10</f>
      </c>
      <c r="H10" t="n" s="17">
        <v>14.0</v>
      </c>
      <c r="I10" t="n" s="17">
        <v>132.0</v>
      </c>
      <c r="J10" s="23">
        <f>I10/F10</f>
      </c>
      <c r="K10" t="n" s="17">
        <v>172.0</v>
      </c>
      <c r="L10" s="23">
        <f>K10/F10</f>
      </c>
      <c r="M10" t="n" s="16">
        <v>25.0</v>
      </c>
      <c r="N10" t="n" s="16">
        <v>172.0</v>
      </c>
      <c r="O10" s="21">
        <f>N10/F10</f>
      </c>
      <c r="P10" t="n" s="16">
        <v>121.0</v>
      </c>
      <c r="Q10" s="21">
        <f>P10/F10</f>
      </c>
      <c r="R10" t="n" s="17">
        <v>27.0</v>
      </c>
      <c r="S10" t="n" s="17">
        <v>120.0</v>
      </c>
      <c r="T10" s="23">
        <f>S10/F10</f>
      </c>
      <c r="U10" t="n" s="17">
        <v>171.0</v>
      </c>
      <c r="V10" s="23">
        <f>U10/F10</f>
      </c>
    </row>
    <row r="11">
      <c r="A11" t="s" s="16">
        <v>28</v>
      </c>
      <c r="B11" t="n" s="16">
        <v>1510.0</v>
      </c>
      <c r="C11" t="n" s="16">
        <v>828.0</v>
      </c>
      <c r="D11" t="n" s="16">
        <v>41.0</v>
      </c>
      <c r="E11" t="n" s="16">
        <v>3.0</v>
      </c>
      <c r="F11" t="n" s="16">
        <v>825.0</v>
      </c>
      <c r="G11" s="21">
        <f>C11/B11</f>
      </c>
      <c r="H11" t="n" s="17">
        <v>11.0</v>
      </c>
      <c r="I11" t="n" s="17">
        <v>376.0</v>
      </c>
      <c r="J11" s="23">
        <f>I11/F11</f>
      </c>
      <c r="K11" t="n" s="17">
        <v>397.0</v>
      </c>
      <c r="L11" s="23">
        <f>K11/F11</f>
      </c>
      <c r="M11" t="n" s="16">
        <v>19.0</v>
      </c>
      <c r="N11" t="n" s="16">
        <v>373.0</v>
      </c>
      <c r="O11" s="21">
        <f>N11/F11</f>
      </c>
      <c r="P11" t="n" s="16">
        <v>392.0</v>
      </c>
      <c r="Q11" s="21">
        <f>P11/F11</f>
      </c>
      <c r="R11" t="n" s="17">
        <v>35.0</v>
      </c>
      <c r="S11" t="n" s="17">
        <v>357.0</v>
      </c>
      <c r="T11" s="23">
        <f>S11/F11</f>
      </c>
      <c r="U11" t="n" s="17">
        <v>392.0</v>
      </c>
      <c r="V11" s="23">
        <f>U11/F11</f>
      </c>
    </row>
    <row r="12">
      <c r="A12" t="s" s="16">
        <v>29</v>
      </c>
      <c r="B12" t="n" s="16">
        <v>733.0</v>
      </c>
      <c r="C12" t="n" s="16">
        <v>370.0</v>
      </c>
      <c r="D12" t="n" s="16">
        <v>11.0</v>
      </c>
      <c r="E12" t="n" s="16">
        <v>5.0</v>
      </c>
      <c r="F12" t="n" s="16">
        <v>365.0</v>
      </c>
      <c r="G12" s="21">
        <f>C12/B12</f>
      </c>
      <c r="H12" t="n" s="17">
        <v>0.0</v>
      </c>
      <c r="I12" t="n" s="17">
        <v>150.0</v>
      </c>
      <c r="J12" s="23">
        <f>I12/F12</f>
      </c>
      <c r="K12" t="n" s="17">
        <v>204.0</v>
      </c>
      <c r="L12" s="23">
        <f>K12/F12</f>
      </c>
      <c r="M12" t="n" s="16">
        <v>6.0</v>
      </c>
      <c r="N12" t="n" s="16">
        <v>195.0</v>
      </c>
      <c r="O12" s="21">
        <f>N12/F12</f>
      </c>
      <c r="P12" t="n" s="16">
        <v>153.0</v>
      </c>
      <c r="Q12" s="21">
        <f>P12/F12</f>
      </c>
      <c r="R12" t="n" s="17">
        <v>11.0</v>
      </c>
      <c r="S12" t="n" s="17">
        <v>137.0</v>
      </c>
      <c r="T12" s="23">
        <f>S12/F12</f>
      </c>
      <c r="U12" t="n" s="17">
        <v>206.0</v>
      </c>
      <c r="V12" s="23">
        <f>U12/F12</f>
      </c>
    </row>
    <row r="13">
      <c r="A13" t="s" s="16">
        <v>30</v>
      </c>
      <c r="B13" t="n" s="16">
        <v>4387.0</v>
      </c>
      <c r="C13" t="n" s="16">
        <v>2728.0</v>
      </c>
      <c r="D13" t="n" s="16">
        <v>168.0</v>
      </c>
      <c r="E13" t="n" s="16">
        <v>2.0</v>
      </c>
      <c r="F13" t="n" s="16">
        <v>2726.0</v>
      </c>
      <c r="G13" s="21">
        <f>C13/B13</f>
      </c>
      <c r="H13" t="n" s="17">
        <v>44.0</v>
      </c>
      <c r="I13" t="n" s="17">
        <v>1009.0</v>
      </c>
      <c r="J13" s="23">
        <f>I13/F13</f>
      </c>
      <c r="K13" t="n" s="17">
        <v>1505.0</v>
      </c>
      <c r="L13" s="23">
        <f>K13/F13</f>
      </c>
      <c r="M13" t="n" s="16">
        <v>58.0</v>
      </c>
      <c r="N13" t="n" s="16">
        <v>1334.0</v>
      </c>
      <c r="O13" s="21">
        <f>N13/F13</f>
      </c>
      <c r="P13" t="n" s="16">
        <v>1166.0</v>
      </c>
      <c r="Q13" s="21">
        <f>P13/F13</f>
      </c>
      <c r="R13" t="n" s="17">
        <v>106.0</v>
      </c>
      <c r="S13" t="n" s="17">
        <v>957.0</v>
      </c>
      <c r="T13" s="23">
        <f>S13/F13</f>
      </c>
      <c r="U13" t="n" s="17">
        <v>1495.0</v>
      </c>
      <c r="V13" s="23">
        <f>U13/F13</f>
      </c>
    </row>
    <row r="14">
      <c r="A14" t="s" s="16">
        <v>31</v>
      </c>
      <c r="B14" t="n" s="16">
        <v>815.0</v>
      </c>
      <c r="C14" t="n" s="16">
        <v>465.0</v>
      </c>
      <c r="D14" t="n" s="16">
        <v>21.0</v>
      </c>
      <c r="E14" t="n" s="16">
        <v>2.0</v>
      </c>
      <c r="F14" t="n" s="16">
        <v>463.0</v>
      </c>
      <c r="G14" s="21">
        <f>C14/B14</f>
      </c>
      <c r="H14" t="n" s="17">
        <v>4.0</v>
      </c>
      <c r="I14" t="n" s="17">
        <v>174.0</v>
      </c>
      <c r="J14" s="23">
        <f>I14/F14</f>
      </c>
      <c r="K14" t="n" s="17">
        <v>264.0</v>
      </c>
      <c r="L14" s="23">
        <f>K14/F14</f>
      </c>
      <c r="M14" t="n" s="16">
        <v>9.0</v>
      </c>
      <c r="N14" t="n" s="16">
        <v>224.0</v>
      </c>
      <c r="O14" s="21">
        <f>N14/F14</f>
      </c>
      <c r="P14" t="n" s="16">
        <v>209.0</v>
      </c>
      <c r="Q14" s="21">
        <f>P14/F14</f>
      </c>
      <c r="R14" t="n" s="17">
        <v>31.0</v>
      </c>
      <c r="S14" t="n" s="17">
        <v>158.0</v>
      </c>
      <c r="T14" s="23">
        <f>S14/F14</f>
      </c>
      <c r="U14" t="n" s="17">
        <v>253.0</v>
      </c>
      <c r="V14" s="23">
        <f>U14/F14</f>
      </c>
    </row>
    <row r="15">
      <c r="A15" t="s" s="16">
        <v>32</v>
      </c>
      <c r="B15" t="n" s="16">
        <v>921.0</v>
      </c>
      <c r="C15" t="n" s="16">
        <v>529.0</v>
      </c>
      <c r="D15" t="n" s="16">
        <v>10.0</v>
      </c>
      <c r="E15" t="n" s="16">
        <v>0.0</v>
      </c>
      <c r="F15" t="n" s="16">
        <v>529.0</v>
      </c>
      <c r="G15" s="21">
        <f>C15/B15</f>
      </c>
      <c r="H15" t="n" s="17">
        <v>17.0</v>
      </c>
      <c r="I15" t="n" s="17">
        <v>161.0</v>
      </c>
      <c r="J15" s="23">
        <f>I15/F15</f>
      </c>
      <c r="K15" t="n" s="17">
        <v>341.0</v>
      </c>
      <c r="L15" s="23">
        <f>K15/F15</f>
      </c>
      <c r="M15" t="n" s="16">
        <v>25.0</v>
      </c>
      <c r="N15" t="n" s="16">
        <v>315.0</v>
      </c>
      <c r="O15" s="21">
        <f>N15/F15</f>
      </c>
      <c r="P15" t="n" s="16">
        <v>179.0</v>
      </c>
      <c r="Q15" s="21">
        <f>P15/F15</f>
      </c>
      <c r="R15" t="n" s="17">
        <v>27.0</v>
      </c>
      <c r="S15" t="n" s="17">
        <v>190.0</v>
      </c>
      <c r="T15" s="23">
        <f>S15/F15</f>
      </c>
      <c r="U15" t="n" s="17">
        <v>302.0</v>
      </c>
      <c r="V15" s="23">
        <f>U15/F15</f>
      </c>
    </row>
    <row r="16">
      <c r="A16" t="s" s="16">
        <v>33</v>
      </c>
      <c r="B16" t="n" s="16">
        <v>507.0</v>
      </c>
      <c r="C16" t="n" s="16">
        <v>249.0</v>
      </c>
      <c r="D16" t="n" s="16">
        <v>15.0</v>
      </c>
      <c r="E16" t="n" s="16">
        <v>0.0</v>
      </c>
      <c r="F16" t="n" s="16">
        <v>249.0</v>
      </c>
      <c r="G16" s="21">
        <f>C16/B16</f>
      </c>
      <c r="H16" t="n" s="17">
        <v>4.0</v>
      </c>
      <c r="I16" t="n" s="17">
        <v>110.0</v>
      </c>
      <c r="J16" s="23">
        <f>I16/F16</f>
      </c>
      <c r="K16" t="n" s="17">
        <v>120.0</v>
      </c>
      <c r="L16" s="23">
        <f>K16/F16</f>
      </c>
      <c r="M16" t="n" s="16">
        <v>4.0</v>
      </c>
      <c r="N16" t="n" s="16">
        <v>124.0</v>
      </c>
      <c r="O16" s="21">
        <f>N16/F16</f>
      </c>
      <c r="P16" t="n" s="16">
        <v>106.0</v>
      </c>
      <c r="Q16" s="21">
        <f>P16/F16</f>
      </c>
      <c r="R16" t="n" s="17">
        <v>14.0</v>
      </c>
      <c r="S16" t="n" s="17">
        <v>101.0</v>
      </c>
      <c r="T16" s="23">
        <f>S16/F16</f>
      </c>
      <c r="U16" t="n" s="17">
        <v>119.0</v>
      </c>
      <c r="V16" s="23">
        <f>U16/F16</f>
      </c>
    </row>
    <row r="17">
      <c r="A17" t="s" s="16">
        <v>34</v>
      </c>
      <c r="B17" t="n" s="16">
        <v>998.0</v>
      </c>
      <c r="C17" t="n" s="16">
        <v>455.0</v>
      </c>
      <c r="D17" t="n" s="16">
        <v>38.0</v>
      </c>
      <c r="E17" t="n" s="16">
        <v>2.0</v>
      </c>
      <c r="F17" t="n" s="16">
        <v>453.0</v>
      </c>
      <c r="G17" s="21">
        <f>C17/B17</f>
      </c>
      <c r="H17" t="n" s="17">
        <v>11.0</v>
      </c>
      <c r="I17" t="n" s="17">
        <v>199.0</v>
      </c>
      <c r="J17" s="23">
        <f>I17/F17</f>
      </c>
      <c r="K17" t="n" s="17">
        <v>205.0</v>
      </c>
      <c r="L17" s="23">
        <f>K17/F17</f>
      </c>
      <c r="M17" t="n" s="16">
        <v>12.0</v>
      </c>
      <c r="N17" t="n" s="16">
        <v>205.0</v>
      </c>
      <c r="O17" s="21">
        <f>N17/F17</f>
      </c>
      <c r="P17" t="n" s="16">
        <v>198.0</v>
      </c>
      <c r="Q17" s="21">
        <f>P17/F17</f>
      </c>
      <c r="R17" t="n" s="17">
        <v>13.0</v>
      </c>
      <c r="S17" t="n" s="17">
        <v>187.0</v>
      </c>
      <c r="T17" s="23">
        <f>S17/F17</f>
      </c>
      <c r="U17" t="n" s="17">
        <v>215.0</v>
      </c>
      <c r="V17" s="23">
        <f>U17/F17</f>
      </c>
    </row>
    <row r="18">
      <c r="A18" t="s" s="16">
        <v>35</v>
      </c>
      <c r="B18" t="n" s="16">
        <v>2817.0</v>
      </c>
      <c r="C18" t="n" s="16">
        <v>1350.0</v>
      </c>
      <c r="D18" t="n" s="16">
        <v>72.0</v>
      </c>
      <c r="E18" t="n" s="16">
        <v>0.0</v>
      </c>
      <c r="F18" t="n" s="16">
        <v>1350.0</v>
      </c>
      <c r="G18" s="21">
        <f>C18/B18</f>
      </c>
      <c r="H18" t="n" s="17">
        <v>21.0</v>
      </c>
      <c r="I18" t="n" s="17">
        <v>630.0</v>
      </c>
      <c r="J18" s="23">
        <f>I18/F18</f>
      </c>
      <c r="K18" t="n" s="17">
        <v>627.0</v>
      </c>
      <c r="L18" s="23">
        <f>K18/F18</f>
      </c>
      <c r="M18" t="n" s="16">
        <v>26.0</v>
      </c>
      <c r="N18" t="n" s="16">
        <v>648.0</v>
      </c>
      <c r="O18" s="21">
        <f>N18/F18</f>
      </c>
      <c r="P18" t="n" s="16">
        <v>604.0</v>
      </c>
      <c r="Q18" s="21">
        <f>P18/F18</f>
      </c>
      <c r="R18" t="n" s="17">
        <v>56.0</v>
      </c>
      <c r="S18" t="n" s="17">
        <v>586.0</v>
      </c>
      <c r="T18" s="23">
        <f>S18/F18</f>
      </c>
      <c r="U18" t="n" s="17">
        <v>636.0</v>
      </c>
      <c r="V18" s="23">
        <f>U18/F18</f>
      </c>
    </row>
    <row r="19">
      <c r="A19" t="s" s="16">
        <v>36</v>
      </c>
      <c r="B19" t="n" s="16">
        <v>814.0</v>
      </c>
      <c r="C19" t="n" s="16">
        <v>393.0</v>
      </c>
      <c r="D19" t="n" s="16">
        <v>34.0</v>
      </c>
      <c r="E19" t="n" s="16">
        <v>0.0</v>
      </c>
      <c r="F19" t="n" s="16">
        <v>393.0</v>
      </c>
      <c r="G19" s="21">
        <f>C19/B19</f>
      </c>
      <c r="H19" t="n" s="17">
        <v>7.0</v>
      </c>
      <c r="I19" t="n" s="17">
        <v>139.0</v>
      </c>
      <c r="J19" s="23">
        <f>I19/F19</f>
      </c>
      <c r="K19" t="n" s="17">
        <v>213.0</v>
      </c>
      <c r="L19" s="23">
        <f>K19/F19</f>
      </c>
      <c r="M19" t="n" s="16">
        <v>8.0</v>
      </c>
      <c r="N19" t="n" s="16">
        <v>189.0</v>
      </c>
      <c r="O19" s="21">
        <f>N19/F19</f>
      </c>
      <c r="P19" t="n" s="16">
        <v>162.0</v>
      </c>
      <c r="Q19" s="21">
        <f>P19/F19</f>
      </c>
      <c r="R19" t="n" s="17">
        <v>20.0</v>
      </c>
      <c r="S19" t="n" s="17">
        <v>128.0</v>
      </c>
      <c r="T19" s="23">
        <f>S19/F19</f>
      </c>
      <c r="U19" t="n" s="17">
        <v>211.0</v>
      </c>
      <c r="V19" s="23">
        <f>U19/F19</f>
      </c>
    </row>
    <row r="20">
      <c r="A20" t="s" s="18">
        <v>21</v>
      </c>
      <c r="B20" s="19">
        <f>SUM(B5:B19)</f>
      </c>
      <c r="C20" s="19">
        <f>SUM(C5:C19)</f>
      </c>
      <c r="D20" s="19">
        <f>SUM(D5:D19)</f>
      </c>
      <c r="E20" s="19">
        <f>SUM(E5:E19)</f>
      </c>
      <c r="F20" s="19">
        <f>SUM(F5:F19)</f>
      </c>
      <c r="G20" s="22">
        <f>C20/B20</f>
      </c>
      <c r="H20" s="19">
        <f>SUM(H5:H19)</f>
      </c>
      <c r="I20" s="19">
        <f>SUM(I5:I19)</f>
      </c>
      <c r="J20" s="22">
        <f>I20/F20</f>
      </c>
      <c r="K20" s="19">
        <f>SUM(K5:K19)</f>
      </c>
      <c r="L20" s="22">
        <f>K20/F20</f>
      </c>
      <c r="M20" s="19">
        <f>SUM(M5:M19)</f>
      </c>
      <c r="N20" s="19">
        <f>SUM(N5:N19)</f>
      </c>
      <c r="O20" s="22">
        <f>N20/F20</f>
      </c>
      <c r="P20" s="19">
        <f>SUM(P5:P19)</f>
      </c>
      <c r="Q20" s="22">
        <f>P20/F20</f>
      </c>
      <c r="R20" s="19">
        <f>SUM(R5:R19)</f>
      </c>
      <c r="S20" s="19">
        <f>SUM(S5:S19)</f>
      </c>
      <c r="T20" s="22">
        <f>S20/F20</f>
      </c>
      <c r="U20" s="19">
        <f>SUM(U5:U19)</f>
      </c>
      <c r="V20" s="22">
        <f>U20/F20</f>
      </c>
    </row>
    <row r="21"/>
    <row r="22">
      <c r="A22" t="s" s="15">
        <v>37</v>
      </c>
    </row>
    <row r="23">
      <c r="A23" t="s" s="16">
        <v>38</v>
      </c>
      <c r="B23" t="n" s="16">
        <v>2308.0</v>
      </c>
      <c r="C23" t="n" s="16">
        <v>1119.0</v>
      </c>
      <c r="D23" t="n" s="16">
        <v>81.0</v>
      </c>
      <c r="E23" t="n" s="16">
        <v>0.0</v>
      </c>
      <c r="F23" t="n" s="16">
        <v>1119.0</v>
      </c>
      <c r="G23" s="21">
        <f>C23/B23</f>
      </c>
      <c r="H23" t="n" s="17">
        <v>19.0</v>
      </c>
      <c r="I23" t="n" s="17">
        <v>435.0</v>
      </c>
      <c r="J23" s="23">
        <f>I23/F23</f>
      </c>
      <c r="K23" t="n" s="17">
        <v>584.0</v>
      </c>
      <c r="L23" s="23">
        <f>K23/F23</f>
      </c>
      <c r="M23" t="n" s="16">
        <v>30.0</v>
      </c>
      <c r="N23" t="n" s="16">
        <v>557.0</v>
      </c>
      <c r="O23" s="21">
        <f>N23/F23</f>
      </c>
      <c r="P23" t="n" s="16">
        <v>451.0</v>
      </c>
      <c r="Q23" s="21">
        <f>P23/F23</f>
      </c>
      <c r="R23" t="n" s="17">
        <v>61.0</v>
      </c>
      <c r="S23" t="n" s="17">
        <v>407.0</v>
      </c>
      <c r="T23" s="23">
        <f>S23/F23</f>
      </c>
      <c r="U23" t="n" s="17">
        <v>570.0</v>
      </c>
      <c r="V23" s="23">
        <f>U23/F23</f>
      </c>
    </row>
    <row r="24">
      <c r="A24" t="s" s="16">
        <v>39</v>
      </c>
      <c r="B24" t="n" s="16">
        <v>179.0</v>
      </c>
      <c r="C24" t="n" s="16">
        <v>102.0</v>
      </c>
      <c r="D24" t="n" s="16">
        <v>7.0</v>
      </c>
      <c r="E24" t="n" s="16">
        <v>0.0</v>
      </c>
      <c r="F24" t="n" s="16">
        <v>102.0</v>
      </c>
      <c r="G24" s="21">
        <f>C24/B24</f>
      </c>
      <c r="H24" t="n" s="17">
        <v>3.0</v>
      </c>
      <c r="I24" t="n" s="17">
        <v>27.0</v>
      </c>
      <c r="J24" s="23">
        <f>I24/F24</f>
      </c>
      <c r="K24" t="n" s="17">
        <v>65.0</v>
      </c>
      <c r="L24" s="23">
        <f>K24/F24</f>
      </c>
      <c r="M24" t="n" s="16">
        <v>6.0</v>
      </c>
      <c r="N24" t="n" s="16">
        <v>69.0</v>
      </c>
      <c r="O24" s="21">
        <f>N24/F24</f>
      </c>
      <c r="P24" t="n" s="16">
        <v>20.0</v>
      </c>
      <c r="Q24" s="21">
        <f>P24/F24</f>
      </c>
      <c r="R24" t="n" s="17">
        <v>7.0</v>
      </c>
      <c r="S24" t="n" s="17">
        <v>24.0</v>
      </c>
      <c r="T24" s="23">
        <f>S24/F24</f>
      </c>
      <c r="U24" t="n" s="17">
        <v>64.0</v>
      </c>
      <c r="V24" s="23">
        <f>U24/F24</f>
      </c>
    </row>
    <row r="25">
      <c r="A25" t="s" s="16">
        <v>40</v>
      </c>
      <c r="B25" t="n" s="16">
        <v>125.0</v>
      </c>
      <c r="C25" t="n" s="16">
        <v>77.0</v>
      </c>
      <c r="D25" t="n" s="16">
        <v>0.0</v>
      </c>
      <c r="E25" t="n" s="16">
        <v>0.0</v>
      </c>
      <c r="F25" t="n" s="16">
        <v>77.0</v>
      </c>
      <c r="G25" s="21">
        <f>C25/B25</f>
      </c>
      <c r="H25" t="n" s="17">
        <v>2.0</v>
      </c>
      <c r="I25" t="n" s="17">
        <v>39.0</v>
      </c>
      <c r="J25" s="23">
        <f>I25/F25</f>
      </c>
      <c r="K25" t="n" s="17">
        <v>36.0</v>
      </c>
      <c r="L25" s="23">
        <f>K25/F25</f>
      </c>
      <c r="M25" t="n" s="16">
        <v>3.0</v>
      </c>
      <c r="N25" t="n" s="16">
        <v>34.0</v>
      </c>
      <c r="O25" s="21">
        <f>N25/F25</f>
      </c>
      <c r="P25" t="n" s="16">
        <v>40.0</v>
      </c>
      <c r="Q25" s="21">
        <f>P25/F25</f>
      </c>
      <c r="R25" t="n" s="17">
        <v>6.0</v>
      </c>
      <c r="S25" t="n" s="17">
        <v>39.0</v>
      </c>
      <c r="T25" s="23">
        <f>S25/F25</f>
      </c>
      <c r="U25" t="n" s="17">
        <v>32.0</v>
      </c>
      <c r="V25" s="23">
        <f>U25/F25</f>
      </c>
    </row>
    <row r="26">
      <c r="A26" t="s" s="16">
        <v>41</v>
      </c>
      <c r="B26" t="n" s="16">
        <v>177.0</v>
      </c>
      <c r="C26" t="n" s="16">
        <v>98.0</v>
      </c>
      <c r="D26" t="n" s="16">
        <v>0.0</v>
      </c>
      <c r="E26" t="n" s="16">
        <v>0.0</v>
      </c>
      <c r="F26" t="n" s="16">
        <v>98.0</v>
      </c>
      <c r="G26" s="21">
        <f>C26/B26</f>
      </c>
      <c r="H26" t="n" s="17">
        <v>0.0</v>
      </c>
      <c r="I26" t="n" s="17">
        <v>27.0</v>
      </c>
      <c r="J26" s="23">
        <f>I26/F26</f>
      </c>
      <c r="K26" t="n" s="17">
        <v>71.0</v>
      </c>
      <c r="L26" s="23">
        <f>K26/F26</f>
      </c>
      <c r="M26" t="n" s="16">
        <v>0.0</v>
      </c>
      <c r="N26" t="n" s="16">
        <v>64.0</v>
      </c>
      <c r="O26" s="21">
        <f>N26/F26</f>
      </c>
      <c r="P26" t="n" s="16">
        <v>34.0</v>
      </c>
      <c r="Q26" s="21">
        <f>P26/F26</f>
      </c>
      <c r="R26" t="n" s="17">
        <v>1.0</v>
      </c>
      <c r="S26" t="n" s="17">
        <v>22.0</v>
      </c>
      <c r="T26" s="23">
        <f>S26/F26</f>
      </c>
      <c r="U26" t="n" s="17">
        <v>75.0</v>
      </c>
      <c r="V26" s="23">
        <f>U26/F26</f>
      </c>
    </row>
    <row r="27">
      <c r="A27" t="s" s="16">
        <v>42</v>
      </c>
      <c r="B27" t="n" s="16">
        <v>339.0</v>
      </c>
      <c r="C27" t="n" s="16">
        <v>208.0</v>
      </c>
      <c r="D27" t="n" s="16">
        <v>9.0</v>
      </c>
      <c r="E27" t="n" s="16">
        <v>0.0</v>
      </c>
      <c r="F27" t="n" s="16">
        <v>208.0</v>
      </c>
      <c r="G27" s="21">
        <f>C27/B27</f>
      </c>
      <c r="H27" t="n" s="17">
        <v>0.0</v>
      </c>
      <c r="I27" t="n" s="17">
        <v>83.0</v>
      </c>
      <c r="J27" s="23">
        <f>I27/F27</f>
      </c>
      <c r="K27" t="n" s="17">
        <v>116.0</v>
      </c>
      <c r="L27" s="23">
        <f>K27/F27</f>
      </c>
      <c r="M27" t="n" s="16">
        <v>0.0</v>
      </c>
      <c r="N27" t="n" s="16">
        <v>100.0</v>
      </c>
      <c r="O27" s="21">
        <f>N27/F27</f>
      </c>
      <c r="P27" t="n" s="16">
        <v>99.0</v>
      </c>
      <c r="Q27" s="21">
        <f>P27/F27</f>
      </c>
      <c r="R27" t="n" s="17">
        <v>8.0</v>
      </c>
      <c r="S27" t="n" s="17">
        <v>82.0</v>
      </c>
      <c r="T27" s="23">
        <f>S27/F27</f>
      </c>
      <c r="U27" t="n" s="17">
        <v>109.0</v>
      </c>
      <c r="V27" s="23">
        <f>U27/F27</f>
      </c>
    </row>
    <row r="28">
      <c r="A28" t="s" s="16">
        <v>43</v>
      </c>
      <c r="B28" t="n" s="16">
        <v>328.0</v>
      </c>
      <c r="C28" t="n" s="16">
        <v>195.0</v>
      </c>
      <c r="D28" t="n" s="16">
        <v>0.0</v>
      </c>
      <c r="E28" t="n" s="16">
        <v>0.0</v>
      </c>
      <c r="F28" t="n" s="16">
        <v>195.0</v>
      </c>
      <c r="G28" s="21">
        <f>C28/B28</f>
      </c>
      <c r="H28" t="n" s="17">
        <v>7.0</v>
      </c>
      <c r="I28" t="n" s="17">
        <v>79.0</v>
      </c>
      <c r="J28" s="23">
        <f>I28/F28</f>
      </c>
      <c r="K28" t="n" s="17">
        <v>109.0</v>
      </c>
      <c r="L28" s="23">
        <f>K28/F28</f>
      </c>
      <c r="M28" t="n" s="16">
        <v>7.0</v>
      </c>
      <c r="N28" t="n" s="16">
        <v>115.0</v>
      </c>
      <c r="O28" s="21">
        <f>N28/F28</f>
      </c>
      <c r="P28" t="n" s="16">
        <v>73.0</v>
      </c>
      <c r="Q28" s="21">
        <f>P28/F28</f>
      </c>
      <c r="R28" t="n" s="17">
        <v>9.0</v>
      </c>
      <c r="S28" t="n" s="17">
        <v>71.0</v>
      </c>
      <c r="T28" s="23">
        <f>S28/F28</f>
      </c>
      <c r="U28" t="n" s="17">
        <v>115.0</v>
      </c>
      <c r="V28" s="23">
        <f>U28/F28</f>
      </c>
    </row>
    <row r="29">
      <c r="A29" t="s" s="16">
        <v>44</v>
      </c>
      <c r="B29" t="n" s="16">
        <v>1584.0</v>
      </c>
      <c r="C29" t="n" s="16">
        <v>837.0</v>
      </c>
      <c r="D29" t="n" s="16">
        <v>67.0</v>
      </c>
      <c r="E29" t="n" s="16">
        <v>3.0</v>
      </c>
      <c r="F29" t="n" s="16">
        <v>834.0</v>
      </c>
      <c r="G29" s="21">
        <f>C29/B29</f>
      </c>
      <c r="H29" t="n" s="17">
        <v>10.0</v>
      </c>
      <c r="I29" t="n" s="17">
        <v>296.0</v>
      </c>
      <c r="J29" s="23">
        <f>I29/F29</f>
      </c>
      <c r="K29" t="n" s="17">
        <v>461.0</v>
      </c>
      <c r="L29" s="23">
        <f>K29/F29</f>
      </c>
      <c r="M29" t="n" s="16">
        <v>14.0</v>
      </c>
      <c r="N29" t="n" s="16">
        <v>440.0</v>
      </c>
      <c r="O29" s="21">
        <f>N29/F29</f>
      </c>
      <c r="P29" t="n" s="16">
        <v>313.0</v>
      </c>
      <c r="Q29" s="21">
        <f>P29/F29</f>
      </c>
      <c r="R29" t="n" s="17">
        <v>35.0</v>
      </c>
      <c r="S29" t="n" s="17">
        <v>275.0</v>
      </c>
      <c r="T29" s="23">
        <f>S29/F29</f>
      </c>
      <c r="U29" t="n" s="17">
        <v>457.0</v>
      </c>
      <c r="V29" s="23">
        <f>U29/F29</f>
      </c>
    </row>
    <row r="30">
      <c r="A30" t="s" s="16">
        <v>45</v>
      </c>
      <c r="B30" t="n" s="16">
        <v>1263.0</v>
      </c>
      <c r="C30" t="n" s="16">
        <v>634.0</v>
      </c>
      <c r="D30" t="n" s="16">
        <v>21.0</v>
      </c>
      <c r="E30" t="n" s="16">
        <v>0.0</v>
      </c>
      <c r="F30" t="n" s="16">
        <v>634.0</v>
      </c>
      <c r="G30" s="21">
        <f>C30/B30</f>
      </c>
      <c r="H30" t="n" s="17">
        <v>5.0</v>
      </c>
      <c r="I30" t="n" s="17">
        <v>240.0</v>
      </c>
      <c r="J30" s="23">
        <f>I30/F30</f>
      </c>
      <c r="K30" t="n" s="17">
        <v>368.0</v>
      </c>
      <c r="L30" s="23">
        <f>K30/F30</f>
      </c>
      <c r="M30" t="n" s="16">
        <v>11.0</v>
      </c>
      <c r="N30" t="n" s="16">
        <v>341.0</v>
      </c>
      <c r="O30" s="21">
        <f>N30/F30</f>
      </c>
      <c r="P30" t="n" s="16">
        <v>261.0</v>
      </c>
      <c r="Q30" s="21">
        <f>P30/F30</f>
      </c>
      <c r="R30" t="n" s="17">
        <v>26.0</v>
      </c>
      <c r="S30" t="n" s="17">
        <v>228.0</v>
      </c>
      <c r="T30" s="23">
        <f>S30/F30</f>
      </c>
      <c r="U30" t="n" s="17">
        <v>359.0</v>
      </c>
      <c r="V30" s="23">
        <f>U30/F30</f>
      </c>
    </row>
    <row r="31">
      <c r="A31" t="s" s="16">
        <v>46</v>
      </c>
      <c r="B31" t="n" s="16">
        <v>215.0</v>
      </c>
      <c r="C31" t="n" s="16">
        <v>125.0</v>
      </c>
      <c r="D31" t="n" s="16">
        <v>6.0</v>
      </c>
      <c r="E31" t="n" s="16">
        <v>0.0</v>
      </c>
      <c r="F31" t="n" s="16">
        <v>125.0</v>
      </c>
      <c r="G31" s="21">
        <f>C31/B31</f>
      </c>
      <c r="H31" t="n" s="17">
        <v>2.0</v>
      </c>
      <c r="I31" t="n" s="17">
        <v>51.0</v>
      </c>
      <c r="J31" s="23">
        <f>I31/F31</f>
      </c>
      <c r="K31" t="n" s="17">
        <v>66.0</v>
      </c>
      <c r="L31" s="23">
        <f>K31/F31</f>
      </c>
      <c r="M31" t="n" s="16">
        <v>1.0</v>
      </c>
      <c r="N31" t="n" s="16">
        <v>60.0</v>
      </c>
      <c r="O31" s="21">
        <f>N31/F31</f>
      </c>
      <c r="P31" t="n" s="16">
        <v>58.0</v>
      </c>
      <c r="Q31" s="21">
        <f>P31/F31</f>
      </c>
      <c r="R31" t="n" s="17">
        <v>1.0</v>
      </c>
      <c r="S31" t="n" s="17">
        <v>51.0</v>
      </c>
      <c r="T31" s="23">
        <f>S31/F31</f>
      </c>
      <c r="U31" t="n" s="17">
        <v>67.0</v>
      </c>
      <c r="V31" s="23">
        <f>U31/F31</f>
      </c>
    </row>
    <row r="32">
      <c r="A32" t="s" s="16">
        <v>47</v>
      </c>
      <c r="B32" t="n" s="16">
        <v>163.0</v>
      </c>
      <c r="C32" t="n" s="16">
        <v>104.0</v>
      </c>
      <c r="D32" t="n" s="16">
        <v>3.0</v>
      </c>
      <c r="E32" t="n" s="16">
        <v>0.0</v>
      </c>
      <c r="F32" t="n" s="16">
        <v>104.0</v>
      </c>
      <c r="G32" s="21">
        <f>C32/B32</f>
      </c>
      <c r="H32" t="n" s="17">
        <v>0.0</v>
      </c>
      <c r="I32" t="n" s="17">
        <v>32.0</v>
      </c>
      <c r="J32" s="23">
        <f>I32/F32</f>
      </c>
      <c r="K32" t="n" s="17">
        <v>69.0</v>
      </c>
      <c r="L32" s="23">
        <f>K32/F32</f>
      </c>
      <c r="M32" t="n" s="16">
        <v>1.0</v>
      </c>
      <c r="N32" t="n" s="16">
        <v>58.0</v>
      </c>
      <c r="O32" s="21">
        <f>N32/F32</f>
      </c>
      <c r="P32" t="n" s="16">
        <v>42.0</v>
      </c>
      <c r="Q32" s="21">
        <f>P32/F32</f>
      </c>
      <c r="R32" t="n" s="17">
        <v>3.0</v>
      </c>
      <c r="S32" t="n" s="17">
        <v>30.0</v>
      </c>
      <c r="T32" s="23">
        <f>S32/F32</f>
      </c>
      <c r="U32" t="n" s="17">
        <v>68.0</v>
      </c>
      <c r="V32" s="23">
        <f>U32/F32</f>
      </c>
    </row>
    <row r="33">
      <c r="A33" t="s" s="16">
        <v>48</v>
      </c>
      <c r="B33" t="n" s="16">
        <v>568.0</v>
      </c>
      <c r="C33" t="n" s="16">
        <v>265.0</v>
      </c>
      <c r="D33" t="n" s="16">
        <v>11.0</v>
      </c>
      <c r="E33" t="n" s="16">
        <v>0.0</v>
      </c>
      <c r="F33" t="n" s="16">
        <v>265.0</v>
      </c>
      <c r="G33" s="21">
        <f>C33/B33</f>
      </c>
      <c r="H33" t="n" s="17">
        <v>5.0</v>
      </c>
      <c r="I33" t="n" s="17">
        <v>93.0</v>
      </c>
      <c r="J33" s="23">
        <f>I33/F33</f>
      </c>
      <c r="K33" t="n" s="17">
        <v>156.0</v>
      </c>
      <c r="L33" s="23">
        <f>K33/F33</f>
      </c>
      <c r="M33" t="n" s="16">
        <v>8.0</v>
      </c>
      <c r="N33" t="n" s="16">
        <v>127.0</v>
      </c>
      <c r="O33" s="21">
        <f>N33/F33</f>
      </c>
      <c r="P33" t="n" s="16">
        <v>119.0</v>
      </c>
      <c r="Q33" s="21">
        <f>P33/F33</f>
      </c>
      <c r="R33" t="n" s="17">
        <v>13.0</v>
      </c>
      <c r="S33" t="n" s="17">
        <v>94.0</v>
      </c>
      <c r="T33" s="23">
        <f>S33/F33</f>
      </c>
      <c r="U33" t="n" s="17">
        <v>147.0</v>
      </c>
      <c r="V33" s="23">
        <f>U33/F33</f>
      </c>
    </row>
    <row r="34">
      <c r="A34" t="s" s="16">
        <v>49</v>
      </c>
      <c r="B34" t="n" s="16">
        <v>627.0</v>
      </c>
      <c r="C34" t="n" s="16">
        <v>313.0</v>
      </c>
      <c r="D34" t="n" s="16">
        <v>9.0</v>
      </c>
      <c r="E34" t="n" s="16">
        <v>0.0</v>
      </c>
      <c r="F34" t="n" s="16">
        <v>313.0</v>
      </c>
      <c r="G34" s="21">
        <f>C34/B34</f>
      </c>
      <c r="H34" t="n" s="17">
        <v>4.0</v>
      </c>
      <c r="I34" t="n" s="17">
        <v>102.0</v>
      </c>
      <c r="J34" s="23">
        <f>I34/F34</f>
      </c>
      <c r="K34" t="n" s="17">
        <v>198.0</v>
      </c>
      <c r="L34" s="23">
        <f>K34/F34</f>
      </c>
      <c r="M34" t="n" s="16">
        <v>4.0</v>
      </c>
      <c r="N34" t="n" s="16">
        <v>162.0</v>
      </c>
      <c r="O34" s="21">
        <f>N34/F34</f>
      </c>
      <c r="P34" t="n" s="16">
        <v>138.0</v>
      </c>
      <c r="Q34" s="21">
        <f>P34/F34</f>
      </c>
      <c r="R34" t="n" s="17">
        <v>20.0</v>
      </c>
      <c r="S34" t="n" s="17">
        <v>87.0</v>
      </c>
      <c r="T34" s="23">
        <f>S34/F34</f>
      </c>
      <c r="U34" t="n" s="17">
        <v>197.0</v>
      </c>
      <c r="V34" s="23">
        <f>U34/F34</f>
      </c>
    </row>
    <row r="35">
      <c r="A35" t="s" s="16">
        <v>50</v>
      </c>
      <c r="B35" t="n" s="16">
        <v>266.0</v>
      </c>
      <c r="C35" t="n" s="16">
        <v>114.0</v>
      </c>
      <c r="D35" t="n" s="16">
        <v>0.0</v>
      </c>
      <c r="E35" t="n" s="16">
        <v>0.0</v>
      </c>
      <c r="F35" t="n" s="16">
        <v>114.0</v>
      </c>
      <c r="G35" s="21">
        <f>C35/B35</f>
      </c>
      <c r="H35" t="n" s="17">
        <v>4.0</v>
      </c>
      <c r="I35" t="n" s="17">
        <v>45.0</v>
      </c>
      <c r="J35" s="23">
        <f>I35/F35</f>
      </c>
      <c r="K35" t="n" s="17">
        <v>65.0</v>
      </c>
      <c r="L35" s="23">
        <f>K35/F35</f>
      </c>
      <c r="M35" t="n" s="16">
        <v>3.0</v>
      </c>
      <c r="N35" t="n" s="16">
        <v>64.0</v>
      </c>
      <c r="O35" s="21">
        <f>N35/F35</f>
      </c>
      <c r="P35" t="n" s="16">
        <v>47.0</v>
      </c>
      <c r="Q35" s="21">
        <f>P35/F35</f>
      </c>
      <c r="R35" t="n" s="17">
        <v>8.0</v>
      </c>
      <c r="S35" t="n" s="17">
        <v>38.0</v>
      </c>
      <c r="T35" s="23">
        <f>S35/F35</f>
      </c>
      <c r="U35" t="n" s="17">
        <v>68.0</v>
      </c>
      <c r="V35" s="23">
        <f>U35/F35</f>
      </c>
    </row>
    <row r="36">
      <c r="A36" t="s" s="16">
        <v>51</v>
      </c>
      <c r="B36" t="n" s="16">
        <v>251.0</v>
      </c>
      <c r="C36" t="n" s="16">
        <v>145.0</v>
      </c>
      <c r="D36" t="n" s="16">
        <v>0.0</v>
      </c>
      <c r="E36" t="n" s="16">
        <v>1.0</v>
      </c>
      <c r="F36" t="n" s="16">
        <v>144.0</v>
      </c>
      <c r="G36" s="21">
        <f>C36/B36</f>
      </c>
      <c r="H36" t="n" s="17">
        <v>6.0</v>
      </c>
      <c r="I36" t="n" s="17">
        <v>52.0</v>
      </c>
      <c r="J36" s="23">
        <f>I36/F36</f>
      </c>
      <c r="K36" t="n" s="17">
        <v>86.0</v>
      </c>
      <c r="L36" s="23">
        <f>K36/F36</f>
      </c>
      <c r="M36" t="n" s="16">
        <v>5.0</v>
      </c>
      <c r="N36" t="n" s="16">
        <v>92.0</v>
      </c>
      <c r="O36" s="21">
        <f>N36/F36</f>
      </c>
      <c r="P36" t="n" s="16">
        <v>47.0</v>
      </c>
      <c r="Q36" s="21">
        <f>P36/F36</f>
      </c>
      <c r="R36" t="n" s="17">
        <v>14.0</v>
      </c>
      <c r="S36" t="n" s="17">
        <v>42.0</v>
      </c>
      <c r="T36" s="23">
        <f>S36/F36</f>
      </c>
      <c r="U36" t="n" s="17">
        <v>88.0</v>
      </c>
      <c r="V36" s="23">
        <f>U36/F36</f>
      </c>
    </row>
    <row r="37">
      <c r="A37" t="s" s="16">
        <v>52</v>
      </c>
      <c r="B37" t="n" s="16">
        <v>117.0</v>
      </c>
      <c r="C37" t="n" s="16">
        <v>65.0</v>
      </c>
      <c r="D37" t="n" s="16">
        <v>1.0</v>
      </c>
      <c r="E37" t="n" s="16">
        <v>0.0</v>
      </c>
      <c r="F37" t="n" s="16">
        <v>65.0</v>
      </c>
      <c r="G37" s="21">
        <f>C37/B37</f>
      </c>
      <c r="H37" t="n" s="17">
        <v>1.0</v>
      </c>
      <c r="I37" t="n" s="17">
        <v>35.0</v>
      </c>
      <c r="J37" s="23">
        <f>I37/F37</f>
      </c>
      <c r="K37" t="n" s="17">
        <v>28.0</v>
      </c>
      <c r="L37" s="23">
        <f>K37/F37</f>
      </c>
      <c r="M37" t="n" s="16">
        <v>2.0</v>
      </c>
      <c r="N37" t="n" s="16">
        <v>35.0</v>
      </c>
      <c r="O37" s="21">
        <f>N37/F37</f>
      </c>
      <c r="P37" t="n" s="16">
        <v>27.0</v>
      </c>
      <c r="Q37" s="21">
        <f>P37/F37</f>
      </c>
      <c r="R37" t="n" s="17">
        <v>5.0</v>
      </c>
      <c r="S37" t="n" s="17">
        <v>29.0</v>
      </c>
      <c r="T37" s="23">
        <f>S37/F37</f>
      </c>
      <c r="U37" t="n" s="17">
        <v>30.0</v>
      </c>
      <c r="V37" s="23">
        <f>U37/F37</f>
      </c>
    </row>
    <row r="38">
      <c r="A38" t="s" s="16">
        <v>53</v>
      </c>
      <c r="B38" t="n" s="16">
        <v>2231.0</v>
      </c>
      <c r="C38" t="n" s="16">
        <v>1122.0</v>
      </c>
      <c r="D38" t="n" s="16">
        <v>55.0</v>
      </c>
      <c r="E38" t="n" s="16">
        <v>12.0</v>
      </c>
      <c r="F38" t="n" s="16">
        <v>1110.0</v>
      </c>
      <c r="G38" s="21">
        <f>C38/B38</f>
      </c>
      <c r="H38" t="n" s="17">
        <v>21.0</v>
      </c>
      <c r="I38" t="n" s="17">
        <v>546.0</v>
      </c>
      <c r="J38" s="23">
        <f>I38/F38</f>
      </c>
      <c r="K38" t="n" s="17">
        <v>488.0</v>
      </c>
      <c r="L38" s="23">
        <f>K38/F38</f>
      </c>
      <c r="M38" t="n" s="16">
        <v>28.0</v>
      </c>
      <c r="N38" t="n" s="16">
        <v>497.0</v>
      </c>
      <c r="O38" s="21">
        <f>N38/F38</f>
      </c>
      <c r="P38" t="n" s="16">
        <v>530.0</v>
      </c>
      <c r="Q38" s="21">
        <f>P38/F38</f>
      </c>
      <c r="R38" t="n" s="17">
        <v>57.0</v>
      </c>
      <c r="S38" t="n" s="17">
        <v>492.0</v>
      </c>
      <c r="T38" s="23">
        <f>S38/F38</f>
      </c>
      <c r="U38" t="n" s="17">
        <v>506.0</v>
      </c>
      <c r="V38" s="23">
        <f>U38/F38</f>
      </c>
    </row>
    <row r="39">
      <c r="A39" t="s" s="16">
        <v>54</v>
      </c>
      <c r="B39" t="n" s="16">
        <v>235.0</v>
      </c>
      <c r="C39" t="n" s="16">
        <v>131.0</v>
      </c>
      <c r="D39" t="n" s="16">
        <v>0.0</v>
      </c>
      <c r="E39" t="n" s="16">
        <v>0.0</v>
      </c>
      <c r="F39" t="n" s="16">
        <v>131.0</v>
      </c>
      <c r="G39" s="21">
        <f>C39/B39</f>
      </c>
      <c r="H39" t="n" s="17">
        <v>4.0</v>
      </c>
      <c r="I39" t="n" s="17">
        <v>51.0</v>
      </c>
      <c r="J39" s="23">
        <f>I39/F39</f>
      </c>
      <c r="K39" t="n" s="17">
        <v>76.0</v>
      </c>
      <c r="L39" s="23">
        <f>K39/F39</f>
      </c>
      <c r="M39" t="n" s="16">
        <v>8.0</v>
      </c>
      <c r="N39" t="n" s="16">
        <v>66.0</v>
      </c>
      <c r="O39" s="21">
        <f>N39/F39</f>
      </c>
      <c r="P39" t="n" s="16">
        <v>57.0</v>
      </c>
      <c r="Q39" s="21">
        <f>P39/F39</f>
      </c>
      <c r="R39" t="n" s="17">
        <v>9.0</v>
      </c>
      <c r="S39" t="n" s="17">
        <v>44.0</v>
      </c>
      <c r="T39" s="23">
        <f>S39/F39</f>
      </c>
      <c r="U39" t="n" s="17">
        <v>78.0</v>
      </c>
      <c r="V39" s="23">
        <f>U39/F39</f>
      </c>
    </row>
    <row r="40">
      <c r="A40" t="s" s="16">
        <v>55</v>
      </c>
      <c r="B40" t="n" s="16">
        <v>4208.0</v>
      </c>
      <c r="C40" t="n" s="16">
        <v>1156.0</v>
      </c>
      <c r="D40" t="n" s="16">
        <v>99.0</v>
      </c>
      <c r="E40" t="n" s="16">
        <v>0.0</v>
      </c>
      <c r="F40" t="n" s="16">
        <v>1156.0</v>
      </c>
      <c r="G40" s="21">
        <f>C40/B40</f>
      </c>
      <c r="H40" t="n" s="17">
        <v>13.0</v>
      </c>
      <c r="I40" t="n" s="17">
        <v>523.0</v>
      </c>
      <c r="J40" s="23">
        <f>I40/F40</f>
      </c>
      <c r="K40" t="n" s="17">
        <v>521.0</v>
      </c>
      <c r="L40" s="23">
        <f>K40/F40</f>
      </c>
      <c r="M40" t="n" s="16">
        <v>27.0</v>
      </c>
      <c r="N40" t="n" s="16">
        <v>500.0</v>
      </c>
      <c r="O40" s="21">
        <f>N40/F40</f>
      </c>
      <c r="P40" t="n" s="16">
        <v>530.0</v>
      </c>
      <c r="Q40" s="21">
        <f>P40/F40</f>
      </c>
      <c r="R40" t="n" s="17">
        <v>69.0</v>
      </c>
      <c r="S40" t="n" s="17">
        <v>486.0</v>
      </c>
      <c r="T40" s="23">
        <f>S40/F40</f>
      </c>
      <c r="U40" t="n" s="17">
        <v>502.0</v>
      </c>
      <c r="V40" s="23">
        <f>U40/F40</f>
      </c>
    </row>
    <row r="41">
      <c r="A41" t="s" s="16">
        <v>56</v>
      </c>
      <c r="B41" t="n" s="16">
        <v>4835.0</v>
      </c>
      <c r="C41" t="n" s="16">
        <v>2333.0</v>
      </c>
      <c r="D41" t="n" s="16">
        <v>181.0</v>
      </c>
      <c r="E41" t="n" s="16">
        <v>5.0</v>
      </c>
      <c r="F41" t="n" s="16">
        <v>2328.0</v>
      </c>
      <c r="G41" s="21">
        <f>C41/B41</f>
      </c>
      <c r="H41" t="n" s="17">
        <v>32.0</v>
      </c>
      <c r="I41" t="n" s="17">
        <v>887.0</v>
      </c>
      <c r="J41" s="23">
        <f>I41/F41</f>
      </c>
      <c r="K41" t="n" s="17">
        <v>1228.0</v>
      </c>
      <c r="L41" s="23">
        <f>K41/F41</f>
      </c>
      <c r="M41" t="n" s="16">
        <v>61.0</v>
      </c>
      <c r="N41" t="n" s="16">
        <v>1159.0</v>
      </c>
      <c r="O41" s="21">
        <f>N41/F41</f>
      </c>
      <c r="P41" t="n" s="16">
        <v>927.0</v>
      </c>
      <c r="Q41" s="21">
        <f>P41/F41</f>
      </c>
      <c r="R41" t="n" s="17">
        <v>105.0</v>
      </c>
      <c r="S41" t="n" s="17">
        <v>815.0</v>
      </c>
      <c r="T41" s="23">
        <f>S41/F41</f>
      </c>
      <c r="U41" t="n" s="17">
        <v>1227.0</v>
      </c>
      <c r="V41" s="23">
        <f>U41/F41</f>
      </c>
    </row>
    <row r="42">
      <c r="A42" t="s" s="16">
        <v>57</v>
      </c>
      <c r="B42" t="n" s="16">
        <v>172.0</v>
      </c>
      <c r="C42" t="n" s="16">
        <v>86.0</v>
      </c>
      <c r="D42" t="n" s="16">
        <v>4.0</v>
      </c>
      <c r="E42" t="n" s="16">
        <v>0.0</v>
      </c>
      <c r="F42" t="n" s="16">
        <v>86.0</v>
      </c>
      <c r="G42" s="21">
        <f>C42/B42</f>
      </c>
      <c r="H42" t="n" s="17">
        <v>0.0</v>
      </c>
      <c r="I42" t="n" s="17">
        <v>26.0</v>
      </c>
      <c r="J42" s="23">
        <f>I42/F42</f>
      </c>
      <c r="K42" t="n" s="17">
        <v>56.0</v>
      </c>
      <c r="L42" s="23">
        <f>K42/F42</f>
      </c>
      <c r="M42" t="n" s="16">
        <v>2.0</v>
      </c>
      <c r="N42" t="n" s="16">
        <v>54.0</v>
      </c>
      <c r="O42" s="21">
        <f>N42/F42</f>
      </c>
      <c r="P42" t="n" s="16">
        <v>26.0</v>
      </c>
      <c r="Q42" s="21">
        <f>P42/F42</f>
      </c>
      <c r="R42" t="n" s="17">
        <v>2.0</v>
      </c>
      <c r="S42" t="n" s="17">
        <v>24.0</v>
      </c>
      <c r="T42" s="23">
        <f>S42/F42</f>
      </c>
      <c r="U42" t="n" s="17">
        <v>56.0</v>
      </c>
      <c r="V42" s="23">
        <f>U42/F42</f>
      </c>
    </row>
    <row r="43">
      <c r="A43" t="s" s="16">
        <v>58</v>
      </c>
      <c r="B43" t="n" s="16">
        <v>321.0</v>
      </c>
      <c r="C43" t="n" s="16">
        <v>192.0</v>
      </c>
      <c r="D43" t="n" s="16">
        <v>8.0</v>
      </c>
      <c r="E43" t="n" s="16">
        <v>0.0</v>
      </c>
      <c r="F43" t="n" s="16">
        <v>192.0</v>
      </c>
      <c r="G43" s="21">
        <f>C43/B43</f>
      </c>
      <c r="H43" t="n" s="17">
        <v>1.0</v>
      </c>
      <c r="I43" t="n" s="17">
        <v>71.0</v>
      </c>
      <c r="J43" s="23">
        <f>I43/F43</f>
      </c>
      <c r="K43" t="n" s="17">
        <v>112.0</v>
      </c>
      <c r="L43" s="23">
        <f>K43/F43</f>
      </c>
      <c r="M43" t="n" s="16">
        <v>2.0</v>
      </c>
      <c r="N43" t="n" s="16">
        <v>109.0</v>
      </c>
      <c r="O43" s="21">
        <f>N43/F43</f>
      </c>
      <c r="P43" t="n" s="16">
        <v>73.0</v>
      </c>
      <c r="Q43" s="21">
        <f>P43/F43</f>
      </c>
      <c r="R43" t="n" s="17">
        <v>6.0</v>
      </c>
      <c r="S43" t="n" s="17">
        <v>62.0</v>
      </c>
      <c r="T43" s="23">
        <f>S43/F43</f>
      </c>
      <c r="U43" t="n" s="17">
        <v>116.0</v>
      </c>
      <c r="V43" s="23">
        <f>U43/F43</f>
      </c>
    </row>
    <row r="44">
      <c r="A44" t="s" s="16">
        <v>59</v>
      </c>
      <c r="B44" t="n" s="16">
        <v>58.0</v>
      </c>
      <c r="C44" t="n" s="16">
        <v>32.0</v>
      </c>
      <c r="D44" t="n" s="16">
        <v>0.0</v>
      </c>
      <c r="E44" t="n" s="16">
        <v>0.0</v>
      </c>
      <c r="F44" t="n" s="16">
        <v>32.0</v>
      </c>
      <c r="G44" s="21">
        <f>C44/B44</f>
      </c>
      <c r="H44" t="n" s="17">
        <v>1.0</v>
      </c>
      <c r="I44" t="n" s="17">
        <v>15.0</v>
      </c>
      <c r="J44" s="23">
        <f>I44/F44</f>
      </c>
      <c r="K44" t="n" s="17">
        <v>16.0</v>
      </c>
      <c r="L44" s="23">
        <f>K44/F44</f>
      </c>
      <c r="M44" t="n" s="16">
        <v>2.0</v>
      </c>
      <c r="N44" t="n" s="16">
        <v>19.0</v>
      </c>
      <c r="O44" s="21">
        <f>N44/F44</f>
      </c>
      <c r="P44" t="n" s="16">
        <v>11.0</v>
      </c>
      <c r="Q44" s="21">
        <f>P44/F44</f>
      </c>
      <c r="R44" t="n" s="17">
        <v>2.0</v>
      </c>
      <c r="S44" t="n" s="17">
        <v>14.0</v>
      </c>
      <c r="T44" s="23">
        <f>S44/F44</f>
      </c>
      <c r="U44" t="n" s="17">
        <v>16.0</v>
      </c>
      <c r="V44" s="23">
        <f>U44/F44</f>
      </c>
    </row>
    <row r="45">
      <c r="A45" t="s" s="16">
        <v>60</v>
      </c>
      <c r="B45" t="n" s="16">
        <v>89.0</v>
      </c>
      <c r="C45" t="n" s="16">
        <v>36.0</v>
      </c>
      <c r="D45" t="n" s="16">
        <v>0.0</v>
      </c>
      <c r="E45" t="n" s="16">
        <v>0.0</v>
      </c>
      <c r="F45" t="n" s="16">
        <v>36.0</v>
      </c>
      <c r="G45" s="21">
        <f>C45/B45</f>
      </c>
      <c r="H45" t="n" s="17">
        <v>0.0</v>
      </c>
      <c r="I45" t="n" s="17">
        <v>18.0</v>
      </c>
      <c r="J45" s="23">
        <f>I45/F45</f>
      </c>
      <c r="K45" t="n" s="17">
        <v>18.0</v>
      </c>
      <c r="L45" s="23">
        <f>K45/F45</f>
      </c>
      <c r="M45" t="n" s="16">
        <v>0.0</v>
      </c>
      <c r="N45" t="n" s="16">
        <v>21.0</v>
      </c>
      <c r="O45" s="21">
        <f>N45/F45</f>
      </c>
      <c r="P45" t="n" s="16">
        <v>15.0</v>
      </c>
      <c r="Q45" s="21">
        <f>P45/F45</f>
      </c>
      <c r="R45" t="n" s="17">
        <v>1.0</v>
      </c>
      <c r="S45" t="n" s="17">
        <v>14.0</v>
      </c>
      <c r="T45" s="23">
        <f>S45/F45</f>
      </c>
      <c r="U45" t="n" s="17">
        <v>21.0</v>
      </c>
      <c r="V45" s="23">
        <f>U45/F45</f>
      </c>
    </row>
    <row r="46">
      <c r="A46" t="s" s="16">
        <v>61</v>
      </c>
      <c r="B46" t="n" s="16">
        <v>202.0</v>
      </c>
      <c r="C46" t="n" s="16">
        <v>112.0</v>
      </c>
      <c r="D46" t="n" s="16">
        <v>3.0</v>
      </c>
      <c r="E46" t="n" s="16">
        <v>0.0</v>
      </c>
      <c r="F46" t="n" s="16">
        <v>112.0</v>
      </c>
      <c r="G46" s="21">
        <f>C46/B46</f>
      </c>
      <c r="H46" t="n" s="17">
        <v>1.0</v>
      </c>
      <c r="I46" t="n" s="17">
        <v>40.0</v>
      </c>
      <c r="J46" s="23">
        <f>I46/F46</f>
      </c>
      <c r="K46" t="n" s="17">
        <v>68.0</v>
      </c>
      <c r="L46" s="23">
        <f>K46/F46</f>
      </c>
      <c r="M46" t="n" s="16">
        <v>6.0</v>
      </c>
      <c r="N46" t="n" s="16">
        <v>63.0</v>
      </c>
      <c r="O46" s="21">
        <f>N46/F46</f>
      </c>
      <c r="P46" t="n" s="16">
        <v>40.0</v>
      </c>
      <c r="Q46" s="21">
        <f>P46/F46</f>
      </c>
      <c r="R46" t="n" s="17">
        <v>8.0</v>
      </c>
      <c r="S46" t="n" s="17">
        <v>36.0</v>
      </c>
      <c r="T46" s="23">
        <f>S46/F46</f>
      </c>
      <c r="U46" t="n" s="17">
        <v>65.0</v>
      </c>
      <c r="V46" s="23">
        <f>U46/F46</f>
      </c>
    </row>
    <row r="47">
      <c r="A47" t="s" s="16">
        <v>62</v>
      </c>
      <c r="B47" t="n" s="16">
        <v>79.0</v>
      </c>
      <c r="C47" t="n" s="16">
        <v>48.0</v>
      </c>
      <c r="D47" t="n" s="16">
        <v>0.0</v>
      </c>
      <c r="E47" t="n" s="16">
        <v>0.0</v>
      </c>
      <c r="F47" t="n" s="16">
        <v>48.0</v>
      </c>
      <c r="G47" s="21">
        <f>C47/B47</f>
      </c>
      <c r="H47" t="n" s="17">
        <v>0.0</v>
      </c>
      <c r="I47" t="n" s="17">
        <v>7.0</v>
      </c>
      <c r="J47" s="23">
        <f>I47/F47</f>
      </c>
      <c r="K47" t="n" s="17">
        <v>41.0</v>
      </c>
      <c r="L47" s="23">
        <f>K47/F47</f>
      </c>
      <c r="M47" t="n" s="16">
        <v>2.0</v>
      </c>
      <c r="N47" t="n" s="16">
        <v>36.0</v>
      </c>
      <c r="O47" s="21">
        <f>N47/F47</f>
      </c>
      <c r="P47" t="n" s="16">
        <v>10.0</v>
      </c>
      <c r="Q47" s="21">
        <f>P47/F47</f>
      </c>
      <c r="R47" t="n" s="17">
        <v>3.0</v>
      </c>
      <c r="S47" t="n" s="17">
        <v>6.0</v>
      </c>
      <c r="T47" s="23">
        <f>S47/F47</f>
      </c>
      <c r="U47" t="n" s="17">
        <v>39.0</v>
      </c>
      <c r="V47" s="23">
        <f>U47/F47</f>
      </c>
    </row>
    <row r="48">
      <c r="A48" t="s" s="16">
        <v>63</v>
      </c>
      <c r="B48" t="n" s="16">
        <v>2046.0</v>
      </c>
      <c r="C48" t="n" s="16">
        <v>1140.0</v>
      </c>
      <c r="D48" t="n" s="16">
        <v>82.0</v>
      </c>
      <c r="E48" t="n" s="16">
        <v>0.0</v>
      </c>
      <c r="F48" t="n" s="16">
        <v>1140.0</v>
      </c>
      <c r="G48" s="21">
        <f>C48/B48</f>
      </c>
      <c r="H48" t="n" s="17">
        <v>19.0</v>
      </c>
      <c r="I48" t="n" s="17">
        <v>379.0</v>
      </c>
      <c r="J48" s="23">
        <f>I48/F48</f>
      </c>
      <c r="K48" t="n" s="17">
        <v>660.0</v>
      </c>
      <c r="L48" s="23">
        <f>K48/F48</f>
      </c>
      <c r="M48" t="n" s="16">
        <v>20.0</v>
      </c>
      <c r="N48" t="n" s="16">
        <v>589.0</v>
      </c>
      <c r="O48" s="21">
        <f>N48/F48</f>
      </c>
      <c r="P48" t="n" s="16">
        <v>449.0</v>
      </c>
      <c r="Q48" s="21">
        <f>P48/F48</f>
      </c>
      <c r="R48" t="n" s="17">
        <v>66.0</v>
      </c>
      <c r="S48" t="n" s="17">
        <v>360.0</v>
      </c>
      <c r="T48" s="23">
        <f>S48/F48</f>
      </c>
      <c r="U48" t="n" s="17">
        <v>632.0</v>
      </c>
      <c r="V48" s="23">
        <f>U48/F48</f>
      </c>
    </row>
    <row r="49">
      <c r="A49" t="s" s="16">
        <v>64</v>
      </c>
      <c r="B49" t="n" s="16">
        <v>101.0</v>
      </c>
      <c r="C49" t="n" s="16">
        <v>64.0</v>
      </c>
      <c r="D49" t="n" s="16">
        <v>0.0</v>
      </c>
      <c r="E49" t="n" s="16">
        <v>0.0</v>
      </c>
      <c r="F49" t="n" s="16">
        <v>64.0</v>
      </c>
      <c r="G49" s="21">
        <f>C49/B49</f>
      </c>
      <c r="H49" t="n" s="17">
        <v>1.0</v>
      </c>
      <c r="I49" t="n" s="17">
        <v>15.0</v>
      </c>
      <c r="J49" s="23">
        <f>I49/F49</f>
      </c>
      <c r="K49" t="n" s="17">
        <v>48.0</v>
      </c>
      <c r="L49" s="23">
        <f>K49/F49</f>
      </c>
      <c r="M49" t="n" s="16">
        <v>2.0</v>
      </c>
      <c r="N49" t="n" s="16">
        <v>46.0</v>
      </c>
      <c r="O49" s="21">
        <f>N49/F49</f>
      </c>
      <c r="P49" t="n" s="16">
        <v>16.0</v>
      </c>
      <c r="Q49" s="21">
        <f>P49/F49</f>
      </c>
      <c r="R49" t="n" s="17">
        <v>3.0</v>
      </c>
      <c r="S49" t="n" s="17">
        <v>14.0</v>
      </c>
      <c r="T49" s="23">
        <f>S49/F49</f>
      </c>
      <c r="U49" t="n" s="17">
        <v>47.0</v>
      </c>
      <c r="V49" s="23">
        <f>U49/F49</f>
      </c>
    </row>
    <row r="50">
      <c r="A50" t="s" s="16">
        <v>65</v>
      </c>
      <c r="B50" t="n" s="16">
        <v>305.0</v>
      </c>
      <c r="C50" t="n" s="16">
        <v>156.0</v>
      </c>
      <c r="D50" t="n" s="16">
        <v>0.0</v>
      </c>
      <c r="E50" t="n" s="16">
        <v>0.0</v>
      </c>
      <c r="F50" t="n" s="16">
        <v>156.0</v>
      </c>
      <c r="G50" s="21">
        <f>C50/B50</f>
      </c>
      <c r="H50" t="n" s="17">
        <v>1.0</v>
      </c>
      <c r="I50" t="n" s="17">
        <v>70.0</v>
      </c>
      <c r="J50" s="23">
        <f>I50/F50</f>
      </c>
      <c r="K50" t="n" s="17">
        <v>85.0</v>
      </c>
      <c r="L50" s="23">
        <f>K50/F50</f>
      </c>
      <c r="M50" t="n" s="16">
        <v>3.0</v>
      </c>
      <c r="N50" t="n" s="16">
        <v>87.0</v>
      </c>
      <c r="O50" s="21">
        <f>N50/F50</f>
      </c>
      <c r="P50" t="n" s="16">
        <v>66.0</v>
      </c>
      <c r="Q50" s="21">
        <f>P50/F50</f>
      </c>
      <c r="R50" t="n" s="17">
        <v>7.0</v>
      </c>
      <c r="S50" t="n" s="17">
        <v>59.0</v>
      </c>
      <c r="T50" s="23">
        <f>S50/F50</f>
      </c>
      <c r="U50" t="n" s="17">
        <v>90.0</v>
      </c>
      <c r="V50" s="23">
        <f>U50/F50</f>
      </c>
    </row>
    <row r="51">
      <c r="A51" t="s" s="16">
        <v>66</v>
      </c>
      <c r="B51" t="n" s="16">
        <v>404.0</v>
      </c>
      <c r="C51" t="n" s="16">
        <v>230.0</v>
      </c>
      <c r="D51" t="n" s="16">
        <v>10.0</v>
      </c>
      <c r="E51" t="n" s="16">
        <v>0.0</v>
      </c>
      <c r="F51" t="n" s="16">
        <v>230.0</v>
      </c>
      <c r="G51" s="21">
        <f>C51/B51</f>
      </c>
      <c r="H51" t="n" s="17">
        <v>2.0</v>
      </c>
      <c r="I51" t="n" s="17">
        <v>105.0</v>
      </c>
      <c r="J51" s="23">
        <f>I51/F51</f>
      </c>
      <c r="K51" t="n" s="17">
        <v>113.0</v>
      </c>
      <c r="L51" s="23">
        <f>K51/F51</f>
      </c>
      <c r="M51" t="n" s="16">
        <v>3.0</v>
      </c>
      <c r="N51" t="n" s="16">
        <v>122.0</v>
      </c>
      <c r="O51" s="21">
        <f>N51/F51</f>
      </c>
      <c r="P51" t="n" s="16">
        <v>95.0</v>
      </c>
      <c r="Q51" s="21">
        <f>P51/F51</f>
      </c>
      <c r="R51" t="n" s="17">
        <v>8.0</v>
      </c>
      <c r="S51" t="n" s="17">
        <v>95.0</v>
      </c>
      <c r="T51" s="23">
        <f>S51/F51</f>
      </c>
      <c r="U51" t="n" s="17">
        <v>117.0</v>
      </c>
      <c r="V51" s="23">
        <f>U51/F51</f>
      </c>
    </row>
    <row r="52">
      <c r="A52" t="s" s="16">
        <v>67</v>
      </c>
      <c r="B52" t="n" s="16">
        <v>429.0</v>
      </c>
      <c r="C52" t="n" s="16">
        <v>266.0</v>
      </c>
      <c r="D52" t="n" s="16">
        <v>0.0</v>
      </c>
      <c r="E52" t="n" s="16">
        <v>0.0</v>
      </c>
      <c r="F52" t="n" s="16">
        <v>266.0</v>
      </c>
      <c r="G52" s="21">
        <f>C52/B52</f>
      </c>
      <c r="H52" t="n" s="17">
        <v>9.0</v>
      </c>
      <c r="I52" t="n" s="17">
        <v>98.0</v>
      </c>
      <c r="J52" s="23">
        <f>I52/F52</f>
      </c>
      <c r="K52" t="n" s="17">
        <v>159.0</v>
      </c>
      <c r="L52" s="23">
        <f>K52/F52</f>
      </c>
      <c r="M52" t="n" s="16">
        <v>10.0</v>
      </c>
      <c r="N52" t="n" s="16">
        <v>162.0</v>
      </c>
      <c r="O52" s="21">
        <f>N52/F52</f>
      </c>
      <c r="P52" t="n" s="16">
        <v>94.0</v>
      </c>
      <c r="Q52" s="21">
        <f>P52/F52</f>
      </c>
      <c r="R52" t="n" s="17">
        <v>20.0</v>
      </c>
      <c r="S52" t="n" s="17">
        <v>85.0</v>
      </c>
      <c r="T52" s="23">
        <f>S52/F52</f>
      </c>
      <c r="U52" t="n" s="17">
        <v>161.0</v>
      </c>
      <c r="V52" s="23">
        <f>U52/F52</f>
      </c>
    </row>
    <row r="53">
      <c r="A53" t="s" s="16">
        <v>68</v>
      </c>
      <c r="B53" t="n" s="16">
        <v>2415.0</v>
      </c>
      <c r="C53" t="n" s="16">
        <v>1320.0</v>
      </c>
      <c r="D53" t="n" s="16">
        <v>109.0</v>
      </c>
      <c r="E53" t="n" s="16">
        <v>0.0</v>
      </c>
      <c r="F53" t="n" s="16">
        <v>1320.0</v>
      </c>
      <c r="G53" s="21">
        <f>C53/B53</f>
      </c>
      <c r="H53" t="n" s="17">
        <v>18.0</v>
      </c>
      <c r="I53" t="n" s="17">
        <v>385.0</v>
      </c>
      <c r="J53" s="23">
        <f>I53/F53</f>
      </c>
      <c r="K53" t="n" s="17">
        <v>808.0</v>
      </c>
      <c r="L53" s="23">
        <f>K53/F53</f>
      </c>
      <c r="M53" t="n" s="16">
        <v>24.0</v>
      </c>
      <c r="N53" t="n" s="16">
        <v>672.0</v>
      </c>
      <c r="O53" s="21">
        <f>N53/F53</f>
      </c>
      <c r="P53" t="n" s="16">
        <v>515.0</v>
      </c>
      <c r="Q53" s="21">
        <f>P53/F53</f>
      </c>
      <c r="R53" t="n" s="17">
        <v>61.0</v>
      </c>
      <c r="S53" t="n" s="17">
        <v>373.0</v>
      </c>
      <c r="T53" s="23">
        <f>S53/F53</f>
      </c>
      <c r="U53" t="n" s="17">
        <v>777.0</v>
      </c>
      <c r="V53" s="23">
        <f>U53/F53</f>
      </c>
    </row>
    <row r="54">
      <c r="A54" t="s" s="18">
        <v>37</v>
      </c>
      <c r="B54" s="19">
        <f>SUM(B23:B53)</f>
      </c>
      <c r="C54" s="19">
        <f>SUM(C23:C53)</f>
      </c>
      <c r="D54" s="19">
        <f>SUM(D23:D53)</f>
      </c>
      <c r="E54" s="19">
        <f>SUM(E23:E53)</f>
      </c>
      <c r="F54" s="19">
        <f>SUM(F23:F53)</f>
      </c>
      <c r="G54" s="22">
        <f>C54/B54</f>
      </c>
      <c r="H54" s="19">
        <f>SUM(H23:H53)</f>
      </c>
      <c r="I54" s="19">
        <f>SUM(I23:I53)</f>
      </c>
      <c r="J54" s="22">
        <f>I54/F54</f>
      </c>
      <c r="K54" s="19">
        <f>SUM(K23:K53)</f>
      </c>
      <c r="L54" s="22">
        <f>K54/F54</f>
      </c>
      <c r="M54" s="19">
        <f>SUM(M23:M53)</f>
      </c>
      <c r="N54" s="19">
        <f>SUM(N23:N53)</f>
      </c>
      <c r="O54" s="22">
        <f>N54/F54</f>
      </c>
      <c r="P54" s="19">
        <f>SUM(P23:P53)</f>
      </c>
      <c r="Q54" s="22">
        <f>P54/F54</f>
      </c>
      <c r="R54" s="19">
        <f>SUM(R23:R53)</f>
      </c>
      <c r="S54" s="19">
        <f>SUM(S23:S53)</f>
      </c>
      <c r="T54" s="22">
        <f>S54/F54</f>
      </c>
      <c r="U54" s="19">
        <f>SUM(U23:U53)</f>
      </c>
      <c r="V54" s="22">
        <f>U54/F54</f>
      </c>
    </row>
    <row r="55"/>
    <row r="56">
      <c r="A56" t="s" s="15">
        <v>69</v>
      </c>
    </row>
    <row r="57">
      <c r="A57" t="s" s="16">
        <v>70</v>
      </c>
      <c r="B57" t="n" s="16">
        <v>1156.0</v>
      </c>
      <c r="C57" t="n" s="16">
        <v>632.0</v>
      </c>
      <c r="D57" t="n" s="16">
        <v>19.0</v>
      </c>
      <c r="E57" t="n" s="16">
        <v>0.0</v>
      </c>
      <c r="F57" t="n" s="16">
        <v>632.0</v>
      </c>
      <c r="G57" s="21">
        <f>C57/B57</f>
      </c>
      <c r="H57" t="n" s="17">
        <v>2.0</v>
      </c>
      <c r="I57" t="n" s="17">
        <v>213.0</v>
      </c>
      <c r="J57" s="23">
        <f>I57/F57</f>
      </c>
      <c r="K57" t="n" s="17">
        <v>398.0</v>
      </c>
      <c r="L57" s="23">
        <f>K57/F57</f>
      </c>
      <c r="M57" t="n" s="16">
        <v>11.0</v>
      </c>
      <c r="N57" t="n" s="16">
        <v>382.0</v>
      </c>
      <c r="O57" s="21">
        <f>N57/F57</f>
      </c>
      <c r="P57" t="n" s="16">
        <v>220.0</v>
      </c>
      <c r="Q57" s="21">
        <f>P57/F57</f>
      </c>
      <c r="R57" t="n" s="17">
        <v>30.0</v>
      </c>
      <c r="S57" t="n" s="17">
        <v>186.0</v>
      </c>
      <c r="T57" s="23">
        <f>S57/F57</f>
      </c>
      <c r="U57" t="n" s="17">
        <v>397.0</v>
      </c>
      <c r="V57" s="23">
        <f>U57/F57</f>
      </c>
    </row>
    <row r="58">
      <c r="A58" t="s" s="16">
        <v>71</v>
      </c>
      <c r="B58" t="n" s="16">
        <v>892.0</v>
      </c>
      <c r="C58" t="n" s="16">
        <v>510.0</v>
      </c>
      <c r="D58" t="n" s="16">
        <v>40.0</v>
      </c>
      <c r="E58" t="n" s="16">
        <v>2.0</v>
      </c>
      <c r="F58" t="n" s="16">
        <v>508.0</v>
      </c>
      <c r="G58" s="21">
        <f>C58/B58</f>
      </c>
      <c r="H58" t="n" s="17">
        <v>5.0</v>
      </c>
      <c r="I58" t="n" s="17">
        <v>186.0</v>
      </c>
      <c r="J58" s="23">
        <f>I58/F58</f>
      </c>
      <c r="K58" t="n" s="17">
        <v>277.0</v>
      </c>
      <c r="L58" s="23">
        <f>K58/F58</f>
      </c>
      <c r="M58" t="n" s="16">
        <v>9.0</v>
      </c>
      <c r="N58" t="n" s="16">
        <v>255.0</v>
      </c>
      <c r="O58" s="21">
        <f>N58/F58</f>
      </c>
      <c r="P58" t="n" s="16">
        <v>204.0</v>
      </c>
      <c r="Q58" s="21">
        <f>P58/F58</f>
      </c>
      <c r="R58" t="n" s="17">
        <v>20.0</v>
      </c>
      <c r="S58" t="n" s="17">
        <v>176.0</v>
      </c>
      <c r="T58" s="23">
        <f>S58/F58</f>
      </c>
      <c r="U58" t="n" s="17">
        <v>272.0</v>
      </c>
      <c r="V58" s="23">
        <f>U58/F58</f>
      </c>
    </row>
    <row r="59">
      <c r="A59" t="s" s="16">
        <v>72</v>
      </c>
      <c r="B59" t="n" s="16">
        <v>403.0</v>
      </c>
      <c r="C59" t="n" s="16">
        <v>214.0</v>
      </c>
      <c r="D59" t="n" s="16">
        <v>7.0</v>
      </c>
      <c r="E59" t="n" s="16">
        <v>1.0</v>
      </c>
      <c r="F59" t="n" s="16">
        <v>213.0</v>
      </c>
      <c r="G59" s="21">
        <f>C59/B59</f>
      </c>
      <c r="H59" t="n" s="17">
        <v>1.0</v>
      </c>
      <c r="I59" t="n" s="17">
        <v>74.0</v>
      </c>
      <c r="J59" s="23">
        <f>I59/F59</f>
      </c>
      <c r="K59" t="n" s="17">
        <v>131.0</v>
      </c>
      <c r="L59" s="23">
        <f>K59/F59</f>
      </c>
      <c r="M59" t="n" s="16">
        <v>3.0</v>
      </c>
      <c r="N59" t="n" s="16">
        <v>116.0</v>
      </c>
      <c r="O59" s="21">
        <f>N59/F59</f>
      </c>
      <c r="P59" t="n" s="16">
        <v>87.0</v>
      </c>
      <c r="Q59" s="21">
        <f>P59/F59</f>
      </c>
      <c r="R59" t="n" s="17">
        <v>6.0</v>
      </c>
      <c r="S59" t="n" s="17">
        <v>69.0</v>
      </c>
      <c r="T59" s="23">
        <f>S59/F59</f>
      </c>
      <c r="U59" t="n" s="17">
        <v>131.0</v>
      </c>
      <c r="V59" s="23">
        <f>U59/F59</f>
      </c>
    </row>
    <row r="60">
      <c r="A60" t="s" s="16">
        <v>73</v>
      </c>
      <c r="B60" t="n" s="16">
        <v>867.0</v>
      </c>
      <c r="C60" t="n" s="16">
        <v>457.0</v>
      </c>
      <c r="D60" t="n" s="16">
        <v>0.0</v>
      </c>
      <c r="E60" t="n" s="16">
        <v>0.0</v>
      </c>
      <c r="F60" t="n" s="16">
        <v>457.0</v>
      </c>
      <c r="G60" s="21">
        <f>C60/B60</f>
      </c>
      <c r="H60" t="n" s="17">
        <v>12.0</v>
      </c>
      <c r="I60" t="n" s="17">
        <v>178.0</v>
      </c>
      <c r="J60" s="23">
        <f>I60/F60</f>
      </c>
      <c r="K60" t="n" s="17">
        <v>267.0</v>
      </c>
      <c r="L60" s="23">
        <f>K60/F60</f>
      </c>
      <c r="M60" t="n" s="16">
        <v>13.0</v>
      </c>
      <c r="N60" t="n" s="16">
        <v>247.0</v>
      </c>
      <c r="O60" s="21">
        <f>N60/F60</f>
      </c>
      <c r="P60" t="n" s="16">
        <v>197.0</v>
      </c>
      <c r="Q60" s="21">
        <f>P60/F60</f>
      </c>
      <c r="R60" t="n" s="17">
        <v>27.0</v>
      </c>
      <c r="S60" t="n" s="17">
        <v>157.0</v>
      </c>
      <c r="T60" s="23">
        <f>S60/F60</f>
      </c>
      <c r="U60" t="n" s="17">
        <v>273.0</v>
      </c>
      <c r="V60" s="23">
        <f>U60/F60</f>
      </c>
    </row>
    <row r="61">
      <c r="A61" t="s" s="16">
        <v>74</v>
      </c>
      <c r="B61" t="n" s="16">
        <v>261.0</v>
      </c>
      <c r="C61" t="n" s="16">
        <v>152.0</v>
      </c>
      <c r="D61" t="n" s="16">
        <v>1.0</v>
      </c>
      <c r="E61" t="n" s="16">
        <v>0.0</v>
      </c>
      <c r="F61" t="n" s="16">
        <v>152.0</v>
      </c>
      <c r="G61" s="21">
        <f>C61/B61</f>
      </c>
      <c r="H61" t="n" s="17">
        <v>1.0</v>
      </c>
      <c r="I61" t="n" s="17">
        <v>76.0</v>
      </c>
      <c r="J61" s="23">
        <f>I61/F61</f>
      </c>
      <c r="K61" t="n" s="17">
        <v>74.0</v>
      </c>
      <c r="L61" s="23">
        <f>K61/F61</f>
      </c>
      <c r="M61" t="n" s="16">
        <v>3.0</v>
      </c>
      <c r="N61" t="n" s="16">
        <v>71.0</v>
      </c>
      <c r="O61" s="21">
        <f>N61/F61</f>
      </c>
      <c r="P61" t="n" s="16">
        <v>77.0</v>
      </c>
      <c r="Q61" s="21">
        <f>P61/F61</f>
      </c>
      <c r="R61" t="n" s="17">
        <v>1.0</v>
      </c>
      <c r="S61" t="n" s="17">
        <v>74.0</v>
      </c>
      <c r="T61" s="23">
        <f>S61/F61</f>
      </c>
      <c r="U61" t="n" s="17">
        <v>76.0</v>
      </c>
      <c r="V61" s="23">
        <f>U61/F61</f>
      </c>
    </row>
    <row r="62">
      <c r="A62" t="s" s="16">
        <v>75</v>
      </c>
      <c r="B62" t="n" s="16">
        <v>380.0</v>
      </c>
      <c r="C62" t="n" s="16">
        <v>208.0</v>
      </c>
      <c r="D62" t="n" s="16">
        <v>0.0</v>
      </c>
      <c r="E62" t="n" s="16">
        <v>0.0</v>
      </c>
      <c r="F62" t="n" s="16">
        <v>208.0</v>
      </c>
      <c r="G62" s="21">
        <f>C62/B62</f>
      </c>
      <c r="H62" t="n" s="17">
        <v>7.0</v>
      </c>
      <c r="I62" t="n" s="17">
        <v>67.0</v>
      </c>
      <c r="J62" s="23">
        <f>I62/F62</f>
      </c>
      <c r="K62" t="n" s="17">
        <v>134.0</v>
      </c>
      <c r="L62" s="23">
        <f>K62/F62</f>
      </c>
      <c r="M62" t="n" s="16">
        <v>6.0</v>
      </c>
      <c r="N62" t="n" s="16">
        <v>110.0</v>
      </c>
      <c r="O62" s="21">
        <f>N62/F62</f>
      </c>
      <c r="P62" t="n" s="16">
        <v>92.0</v>
      </c>
      <c r="Q62" s="21">
        <f>P62/F62</f>
      </c>
      <c r="R62" t="n" s="17">
        <v>18.0</v>
      </c>
      <c r="S62" t="n" s="17">
        <v>58.0</v>
      </c>
      <c r="T62" s="23">
        <f>S62/F62</f>
      </c>
      <c r="U62" t="n" s="17">
        <v>132.0</v>
      </c>
      <c r="V62" s="23">
        <f>U62/F62</f>
      </c>
    </row>
    <row r="63">
      <c r="A63" t="s" s="16">
        <v>76</v>
      </c>
      <c r="B63" t="n" s="16">
        <v>665.0</v>
      </c>
      <c r="C63" t="n" s="16">
        <v>430.0</v>
      </c>
      <c r="D63" t="n" s="16">
        <v>26.0</v>
      </c>
      <c r="E63" t="n" s="16">
        <v>0.0</v>
      </c>
      <c r="F63" t="n" s="16">
        <v>430.0</v>
      </c>
      <c r="G63" s="21">
        <f>C63/B63</f>
      </c>
      <c r="H63" t="n" s="17">
        <v>3.0</v>
      </c>
      <c r="I63" t="n" s="17">
        <v>189.0</v>
      </c>
      <c r="J63" s="23">
        <f>I63/F63</f>
      </c>
      <c r="K63" t="n" s="17">
        <v>212.0</v>
      </c>
      <c r="L63" s="23">
        <f>K63/F63</f>
      </c>
      <c r="M63" t="n" s="16">
        <v>8.0</v>
      </c>
      <c r="N63" t="n" s="16">
        <v>198.0</v>
      </c>
      <c r="O63" s="21">
        <f>N63/F63</f>
      </c>
      <c r="P63" t="n" s="16">
        <v>198.0</v>
      </c>
      <c r="Q63" s="21">
        <f>P63/F63</f>
      </c>
      <c r="R63" t="n" s="17">
        <v>19.0</v>
      </c>
      <c r="S63" t="n" s="17">
        <v>184.0</v>
      </c>
      <c r="T63" s="23">
        <f>S63/F63</f>
      </c>
      <c r="U63" t="n" s="17">
        <v>201.0</v>
      </c>
      <c r="V63" s="23">
        <f>U63/F63</f>
      </c>
    </row>
    <row r="64">
      <c r="A64" t="s" s="16">
        <v>77</v>
      </c>
      <c r="B64" t="n" s="16">
        <v>559.0</v>
      </c>
      <c r="C64" t="n" s="16">
        <v>312.0</v>
      </c>
      <c r="D64" t="n" s="16">
        <v>7.0</v>
      </c>
      <c r="E64" t="n" s="16">
        <v>0.0</v>
      </c>
      <c r="F64" t="n" s="16">
        <v>312.0</v>
      </c>
      <c r="G64" s="21">
        <f>C64/B64</f>
      </c>
      <c r="H64" t="n" s="17">
        <v>5.0</v>
      </c>
      <c r="I64" t="n" s="17">
        <v>147.0</v>
      </c>
      <c r="J64" s="23">
        <f>I64/F64</f>
      </c>
      <c r="K64" t="n" s="17">
        <v>153.0</v>
      </c>
      <c r="L64" s="23">
        <f>K64/F64</f>
      </c>
      <c r="M64" t="n" s="16">
        <v>6.0</v>
      </c>
      <c r="N64" t="n" s="16">
        <v>147.0</v>
      </c>
      <c r="O64" s="21">
        <f>N64/F64</f>
      </c>
      <c r="P64" t="n" s="16">
        <v>152.0</v>
      </c>
      <c r="Q64" s="21">
        <f>P64/F64</f>
      </c>
      <c r="R64" t="n" s="17">
        <v>10.0</v>
      </c>
      <c r="S64" t="n" s="17">
        <v>137.0</v>
      </c>
      <c r="T64" s="23">
        <f>S64/F64</f>
      </c>
      <c r="U64" t="n" s="17">
        <v>158.0</v>
      </c>
      <c r="V64" s="23">
        <f>U64/F64</f>
      </c>
    </row>
    <row r="65">
      <c r="A65" t="s" s="16">
        <v>78</v>
      </c>
      <c r="B65" t="n" s="16">
        <v>1715.0</v>
      </c>
      <c r="C65" t="n" s="16">
        <v>999.0</v>
      </c>
      <c r="D65" t="n" s="16">
        <v>53.0</v>
      </c>
      <c r="E65" t="n" s="16">
        <v>11.0</v>
      </c>
      <c r="F65" t="n" s="16">
        <v>988.0</v>
      </c>
      <c r="G65" s="21">
        <f>C65/B65</f>
      </c>
      <c r="H65" t="n" s="17">
        <v>15.0</v>
      </c>
      <c r="I65" t="n" s="17">
        <v>489.0</v>
      </c>
      <c r="J65" s="23">
        <f>I65/F65</f>
      </c>
      <c r="K65" t="n" s="17">
        <v>431.0</v>
      </c>
      <c r="L65" s="23">
        <f>K65/F65</f>
      </c>
      <c r="M65" t="n" s="16">
        <v>18.0</v>
      </c>
      <c r="N65" t="n" s="16">
        <v>456.0</v>
      </c>
      <c r="O65" s="21">
        <f>N65/F65</f>
      </c>
      <c r="P65" t="n" s="16">
        <v>461.0</v>
      </c>
      <c r="Q65" s="21">
        <f>P65/F65</f>
      </c>
      <c r="R65" t="n" s="17">
        <v>22.0</v>
      </c>
      <c r="S65" t="n" s="17">
        <v>458.0</v>
      </c>
      <c r="T65" s="23">
        <f>S65/F65</f>
      </c>
      <c r="U65" t="n" s="17">
        <v>455.0</v>
      </c>
      <c r="V65" s="23">
        <f>U65/F65</f>
      </c>
    </row>
    <row r="66">
      <c r="A66" t="s" s="16">
        <v>79</v>
      </c>
      <c r="B66" t="n" s="16">
        <v>702.0</v>
      </c>
      <c r="C66" t="n" s="16">
        <v>412.0</v>
      </c>
      <c r="D66" t="n" s="16">
        <v>0.0</v>
      </c>
      <c r="E66" t="n" s="16">
        <v>0.0</v>
      </c>
      <c r="F66" t="n" s="16">
        <v>412.0</v>
      </c>
      <c r="G66" s="21">
        <f>C66/B66</f>
      </c>
      <c r="H66" t="n" s="17">
        <v>15.0</v>
      </c>
      <c r="I66" t="n" s="17">
        <v>173.0</v>
      </c>
      <c r="J66" s="23">
        <f>I66/F66</f>
      </c>
      <c r="K66" t="n" s="17">
        <v>224.0</v>
      </c>
      <c r="L66" s="23">
        <f>K66/F66</f>
      </c>
      <c r="M66" t="n" s="16">
        <v>16.0</v>
      </c>
      <c r="N66" t="n" s="16">
        <v>211.0</v>
      </c>
      <c r="O66" s="21">
        <f>N66/F66</f>
      </c>
      <c r="P66" t="n" s="16">
        <v>185.0</v>
      </c>
      <c r="Q66" s="21">
        <f>P66/F66</f>
      </c>
      <c r="R66" t="n" s="17">
        <v>14.0</v>
      </c>
      <c r="S66" t="n" s="17">
        <v>171.0</v>
      </c>
      <c r="T66" s="23">
        <f>S66/F66</f>
      </c>
      <c r="U66" t="n" s="17">
        <v>227.0</v>
      </c>
      <c r="V66" s="23">
        <f>U66/F66</f>
      </c>
    </row>
    <row r="67">
      <c r="A67" t="s" s="16">
        <v>80</v>
      </c>
      <c r="B67" t="n" s="16">
        <v>4081.0</v>
      </c>
      <c r="C67" t="n" s="16">
        <v>2216.0</v>
      </c>
      <c r="D67" t="n" s="16">
        <v>145.0</v>
      </c>
      <c r="E67" t="n" s="16">
        <v>1.0</v>
      </c>
      <c r="F67" t="n" s="16">
        <v>2215.0</v>
      </c>
      <c r="G67" s="21">
        <f>C67/B67</f>
      </c>
      <c r="H67" t="n" s="17">
        <v>28.0</v>
      </c>
      <c r="I67" t="n" s="17">
        <v>995.0</v>
      </c>
      <c r="J67" s="23">
        <f>I67/F67</f>
      </c>
      <c r="K67" t="n" s="17">
        <v>1047.0</v>
      </c>
      <c r="L67" s="23">
        <f>K67/F67</f>
      </c>
      <c r="M67" t="n" s="16">
        <v>41.0</v>
      </c>
      <c r="N67" t="n" s="16">
        <v>1007.0</v>
      </c>
      <c r="O67" s="21">
        <f>N67/F67</f>
      </c>
      <c r="P67" t="n" s="16">
        <v>1022.0</v>
      </c>
      <c r="Q67" s="21">
        <f>P67/F67</f>
      </c>
      <c r="R67" t="n" s="17">
        <v>79.0</v>
      </c>
      <c r="S67" t="n" s="17">
        <v>944.0</v>
      </c>
      <c r="T67" s="23">
        <f>S67/F67</f>
      </c>
      <c r="U67" t="n" s="17">
        <v>1047.0</v>
      </c>
      <c r="V67" s="23">
        <f>U67/F67</f>
      </c>
    </row>
    <row r="68">
      <c r="A68" t="s" s="16">
        <v>81</v>
      </c>
      <c r="B68" t="n" s="16">
        <v>744.0</v>
      </c>
      <c r="C68" t="n" s="16">
        <v>374.0</v>
      </c>
      <c r="D68" t="n" s="16">
        <v>21.0</v>
      </c>
      <c r="E68" t="n" s="16">
        <v>0.0</v>
      </c>
      <c r="F68" t="n" s="16">
        <v>374.0</v>
      </c>
      <c r="G68" s="21">
        <f>C68/B68</f>
      </c>
      <c r="H68" t="n" s="17">
        <v>3.0</v>
      </c>
      <c r="I68" t="n" s="17">
        <v>157.0</v>
      </c>
      <c r="J68" s="23">
        <f>I68/F68</f>
      </c>
      <c r="K68" t="n" s="17">
        <v>193.0</v>
      </c>
      <c r="L68" s="23">
        <f>K68/F68</f>
      </c>
      <c r="M68" t="n" s="16">
        <v>9.0</v>
      </c>
      <c r="N68" t="n" s="16">
        <v>189.0</v>
      </c>
      <c r="O68" s="21">
        <f>N68/F68</f>
      </c>
      <c r="P68" t="n" s="16">
        <v>155.0</v>
      </c>
      <c r="Q68" s="21">
        <f>P68/F68</f>
      </c>
      <c r="R68" t="n" s="17">
        <v>16.0</v>
      </c>
      <c r="S68" t="n" s="17">
        <v>145.0</v>
      </c>
      <c r="T68" s="23">
        <f>S68/F68</f>
      </c>
      <c r="U68" t="n" s="17">
        <v>192.0</v>
      </c>
      <c r="V68" s="23">
        <f>U68/F68</f>
      </c>
    </row>
    <row r="69">
      <c r="A69" t="s" s="16">
        <v>82</v>
      </c>
      <c r="B69" t="n" s="16">
        <v>732.0</v>
      </c>
      <c r="C69" t="n" s="16">
        <v>445.0</v>
      </c>
      <c r="D69" t="n" s="16">
        <v>26.0</v>
      </c>
      <c r="E69" t="n" s="16">
        <v>0.0</v>
      </c>
      <c r="F69" t="n" s="16">
        <v>445.0</v>
      </c>
      <c r="G69" s="21">
        <f>C69/B69</f>
      </c>
      <c r="H69" t="n" s="17">
        <v>6.0</v>
      </c>
      <c r="I69" t="n" s="17">
        <v>186.0</v>
      </c>
      <c r="J69" s="23">
        <f>I69/F69</f>
      </c>
      <c r="K69" t="n" s="17">
        <v>227.0</v>
      </c>
      <c r="L69" s="23">
        <f>K69/F69</f>
      </c>
      <c r="M69" t="n" s="16">
        <v>5.0</v>
      </c>
      <c r="N69" t="n" s="16">
        <v>219.0</v>
      </c>
      <c r="O69" s="21">
        <f>N69/F69</f>
      </c>
      <c r="P69" t="n" s="16">
        <v>195.0</v>
      </c>
      <c r="Q69" s="21">
        <f>P69/F69</f>
      </c>
      <c r="R69" t="n" s="17">
        <v>15.0</v>
      </c>
      <c r="S69" t="n" s="17">
        <v>180.0</v>
      </c>
      <c r="T69" s="23">
        <f>S69/F69</f>
      </c>
      <c r="U69" t="n" s="17">
        <v>224.0</v>
      </c>
      <c r="V69" s="23">
        <f>U69/F69</f>
      </c>
    </row>
    <row r="70">
      <c r="A70" t="s" s="16">
        <v>83</v>
      </c>
      <c r="B70" t="n" s="16">
        <v>530.0</v>
      </c>
      <c r="C70" t="n" s="16">
        <v>295.0</v>
      </c>
      <c r="D70" t="n" s="16">
        <v>10.0</v>
      </c>
      <c r="E70" t="n" s="16">
        <v>1.0</v>
      </c>
      <c r="F70" t="n" s="16">
        <v>294.0</v>
      </c>
      <c r="G70" s="21">
        <f>C70/B70</f>
      </c>
      <c r="H70" t="n" s="17">
        <v>4.0</v>
      </c>
      <c r="I70" t="n" s="17">
        <v>131.0</v>
      </c>
      <c r="J70" s="23">
        <f>I70/F70</f>
      </c>
      <c r="K70" t="n" s="17">
        <v>149.0</v>
      </c>
      <c r="L70" s="23">
        <f>K70/F70</f>
      </c>
      <c r="M70" t="n" s="16">
        <v>0.0</v>
      </c>
      <c r="N70" t="n" s="16">
        <v>127.0</v>
      </c>
      <c r="O70" s="21">
        <f>N70/F70</f>
      </c>
      <c r="P70" t="n" s="16">
        <v>157.0</v>
      </c>
      <c r="Q70" s="21">
        <f>P70/F70</f>
      </c>
      <c r="R70" t="n" s="17">
        <v>4.0</v>
      </c>
      <c r="S70" t="n" s="17">
        <v>132.0</v>
      </c>
      <c r="T70" s="23">
        <f>S70/F70</f>
      </c>
      <c r="U70" t="n" s="17">
        <v>148.0</v>
      </c>
      <c r="V70" s="23">
        <f>U70/F70</f>
      </c>
    </row>
    <row r="71">
      <c r="A71" t="s" s="16">
        <v>84</v>
      </c>
      <c r="B71" t="n" s="16">
        <v>1709.0</v>
      </c>
      <c r="C71" t="n" s="16">
        <v>1057.0</v>
      </c>
      <c r="D71" t="n" s="16">
        <v>77.0</v>
      </c>
      <c r="E71" t="n" s="16">
        <v>1.0</v>
      </c>
      <c r="F71" t="n" s="16">
        <v>1056.0</v>
      </c>
      <c r="G71" s="21">
        <f>C71/B71</f>
      </c>
      <c r="H71" t="n" s="17">
        <v>12.0</v>
      </c>
      <c r="I71" t="n" s="17">
        <v>397.0</v>
      </c>
      <c r="J71" s="23">
        <f>I71/F71</f>
      </c>
      <c r="K71" t="n" s="17">
        <v>570.0</v>
      </c>
      <c r="L71" s="23">
        <f>K71/F71</f>
      </c>
      <c r="M71" t="n" s="16">
        <v>15.0</v>
      </c>
      <c r="N71" t="n" s="16">
        <v>544.0</v>
      </c>
      <c r="O71" s="21">
        <f>N71/F71</f>
      </c>
      <c r="P71" t="n" s="16">
        <v>420.0</v>
      </c>
      <c r="Q71" s="21">
        <f>P71/F71</f>
      </c>
      <c r="R71" t="n" s="17">
        <v>33.0</v>
      </c>
      <c r="S71" t="n" s="17">
        <v>371.0</v>
      </c>
      <c r="T71" s="23">
        <f>S71/F71</f>
      </c>
      <c r="U71" t="n" s="17">
        <v>575.0</v>
      </c>
      <c r="V71" s="23">
        <f>U71/F71</f>
      </c>
    </row>
    <row r="72">
      <c r="A72" t="s" s="16">
        <v>85</v>
      </c>
      <c r="B72" t="n" s="16">
        <v>814.0</v>
      </c>
      <c r="C72" t="n" s="16">
        <v>488.0</v>
      </c>
      <c r="D72" t="n" s="16">
        <v>34.0</v>
      </c>
      <c r="E72" t="n" s="16">
        <v>0.0</v>
      </c>
      <c r="F72" t="n" s="16">
        <v>488.0</v>
      </c>
      <c r="G72" s="21">
        <f>C72/B72</f>
      </c>
      <c r="H72" t="n" s="17">
        <v>4.0</v>
      </c>
      <c r="I72" t="n" s="17">
        <v>161.0</v>
      </c>
      <c r="J72" s="23">
        <f>I72/F72</f>
      </c>
      <c r="K72" t="n" s="17">
        <v>289.0</v>
      </c>
      <c r="L72" s="23">
        <f>K72/F72</f>
      </c>
      <c r="M72" t="n" s="16">
        <v>9.0</v>
      </c>
      <c r="N72" t="n" s="16">
        <v>273.0</v>
      </c>
      <c r="O72" s="21">
        <f>N72/F72</f>
      </c>
      <c r="P72" t="n" s="16">
        <v>172.0</v>
      </c>
      <c r="Q72" s="21">
        <f>P72/F72</f>
      </c>
      <c r="R72" t="n" s="17">
        <v>23.0</v>
      </c>
      <c r="S72" t="n" s="17">
        <v>151.0</v>
      </c>
      <c r="T72" s="23">
        <f>S72/F72</f>
      </c>
      <c r="U72" t="n" s="17">
        <v>280.0</v>
      </c>
      <c r="V72" s="23">
        <f>U72/F72</f>
      </c>
    </row>
    <row r="73">
      <c r="A73" t="s" s="16">
        <v>86</v>
      </c>
      <c r="B73" t="n" s="16">
        <v>1023.0</v>
      </c>
      <c r="C73" t="n" s="16">
        <v>563.0</v>
      </c>
      <c r="D73" t="n" s="16">
        <v>19.0</v>
      </c>
      <c r="E73" t="n" s="16">
        <v>1.0</v>
      </c>
      <c r="F73" t="n" s="16">
        <v>562.0</v>
      </c>
      <c r="G73" s="21">
        <f>C73/B73</f>
      </c>
      <c r="H73" t="n" s="17">
        <v>7.0</v>
      </c>
      <c r="I73" t="n" s="17">
        <v>237.0</v>
      </c>
      <c r="J73" s="23">
        <f>I73/F73</f>
      </c>
      <c r="K73" t="n" s="17">
        <v>299.0</v>
      </c>
      <c r="L73" s="23">
        <f>K73/F73</f>
      </c>
      <c r="M73" t="n" s="16">
        <v>12.0</v>
      </c>
      <c r="N73" t="n" s="16">
        <v>289.0</v>
      </c>
      <c r="O73" s="21">
        <f>N73/F73</f>
      </c>
      <c r="P73" t="n" s="16">
        <v>242.0</v>
      </c>
      <c r="Q73" s="21">
        <f>P73/F73</f>
      </c>
      <c r="R73" t="n" s="17">
        <v>21.0</v>
      </c>
      <c r="S73" t="n" s="17">
        <v>211.0</v>
      </c>
      <c r="T73" s="23">
        <f>S73/F73</f>
      </c>
      <c r="U73" t="n" s="17">
        <v>311.0</v>
      </c>
      <c r="V73" s="23">
        <f>U73/F73</f>
      </c>
    </row>
    <row r="74">
      <c r="A74" t="s" s="16">
        <v>87</v>
      </c>
      <c r="B74" t="n" s="16">
        <v>320.0</v>
      </c>
      <c r="C74" t="n" s="16">
        <v>166.0</v>
      </c>
      <c r="D74" t="n" s="16">
        <v>0.0</v>
      </c>
      <c r="E74" t="n" s="16">
        <v>0.0</v>
      </c>
      <c r="F74" t="n" s="16">
        <v>166.0</v>
      </c>
      <c r="G74" s="21">
        <f>C74/B74</f>
      </c>
      <c r="H74" t="n" s="17">
        <v>11.0</v>
      </c>
      <c r="I74" t="n" s="17">
        <v>88.0</v>
      </c>
      <c r="J74" s="23">
        <f>I74/F74</f>
      </c>
      <c r="K74" t="n" s="17">
        <v>67.0</v>
      </c>
      <c r="L74" s="23">
        <f>K74/F74</f>
      </c>
      <c r="M74" t="n" s="16">
        <v>13.0</v>
      </c>
      <c r="N74" t="n" s="16">
        <v>71.0</v>
      </c>
      <c r="O74" s="21">
        <f>N74/F74</f>
      </c>
      <c r="P74" t="n" s="16">
        <v>82.0</v>
      </c>
      <c r="Q74" s="21">
        <f>P74/F74</f>
      </c>
      <c r="R74" t="n" s="17">
        <v>16.0</v>
      </c>
      <c r="S74" t="n" s="17">
        <v>78.0</v>
      </c>
      <c r="T74" s="23">
        <f>S74/F74</f>
      </c>
      <c r="U74" t="n" s="17">
        <v>72.0</v>
      </c>
      <c r="V74" s="23">
        <f>U74/F74</f>
      </c>
    </row>
    <row r="75">
      <c r="A75" t="s" s="16">
        <v>88</v>
      </c>
      <c r="B75" t="n" s="16">
        <v>498.0</v>
      </c>
      <c r="C75" t="n" s="16">
        <v>265.0</v>
      </c>
      <c r="D75" t="n" s="16">
        <v>6.0</v>
      </c>
      <c r="E75" t="n" s="16">
        <v>0.0</v>
      </c>
      <c r="F75" t="n" s="16">
        <v>265.0</v>
      </c>
      <c r="G75" s="21">
        <f>C75/B75</f>
      </c>
      <c r="H75" t="n" s="17">
        <v>5.0</v>
      </c>
      <c r="I75" t="n" s="17">
        <v>96.0</v>
      </c>
      <c r="J75" s="23">
        <f>I75/F75</f>
      </c>
      <c r="K75" t="n" s="17">
        <v>158.0</v>
      </c>
      <c r="L75" s="23">
        <f>K75/F75</f>
      </c>
      <c r="M75" t="n" s="16">
        <v>11.0</v>
      </c>
      <c r="N75" t="n" s="16">
        <v>152.0</v>
      </c>
      <c r="O75" s="21">
        <f>N75/F75</f>
      </c>
      <c r="P75" t="n" s="16">
        <v>96.0</v>
      </c>
      <c r="Q75" s="21">
        <f>P75/F75</f>
      </c>
      <c r="R75" t="n" s="17">
        <v>13.0</v>
      </c>
      <c r="S75" t="n" s="17">
        <v>91.0</v>
      </c>
      <c r="T75" s="23">
        <f>S75/F75</f>
      </c>
      <c r="U75" t="n" s="17">
        <v>155.0</v>
      </c>
      <c r="V75" s="23">
        <f>U75/F75</f>
      </c>
    </row>
    <row r="76">
      <c r="A76" t="s" s="16">
        <v>89</v>
      </c>
      <c r="B76" t="n" s="16">
        <v>1923.0</v>
      </c>
      <c r="C76" t="n" s="16">
        <v>1050.0</v>
      </c>
      <c r="D76" t="n" s="16">
        <v>25.0</v>
      </c>
      <c r="E76" t="n" s="16">
        <v>0.0</v>
      </c>
      <c r="F76" t="n" s="16">
        <v>1050.0</v>
      </c>
      <c r="G76" s="21">
        <f>C76/B76</f>
      </c>
      <c r="H76" t="n" s="17">
        <v>10.0</v>
      </c>
      <c r="I76" t="n" s="17">
        <v>418.0</v>
      </c>
      <c r="J76" s="23">
        <f>I76/F76</f>
      </c>
      <c r="K76" t="n" s="17">
        <v>597.0</v>
      </c>
      <c r="L76" s="23">
        <f>K76/F76</f>
      </c>
      <c r="M76" t="n" s="16">
        <v>19.0</v>
      </c>
      <c r="N76" t="n" s="16">
        <v>550.0</v>
      </c>
      <c r="O76" s="21">
        <f>N76/F76</f>
      </c>
      <c r="P76" t="n" s="16">
        <v>456.0</v>
      </c>
      <c r="Q76" s="21">
        <f>P76/F76</f>
      </c>
      <c r="R76" t="n" s="17">
        <v>42.0</v>
      </c>
      <c r="S76" t="n" s="17">
        <v>384.0</v>
      </c>
      <c r="T76" s="23">
        <f>S76/F76</f>
      </c>
      <c r="U76" t="n" s="17">
        <v>599.0</v>
      </c>
      <c r="V76" s="23">
        <f>U76/F76</f>
      </c>
    </row>
    <row r="77">
      <c r="A77" t="s" s="16">
        <v>90</v>
      </c>
      <c r="B77" t="n" s="16">
        <v>1291.0</v>
      </c>
      <c r="C77" t="n" s="16">
        <v>709.0</v>
      </c>
      <c r="D77" t="n" s="16">
        <v>0.0</v>
      </c>
      <c r="E77" t="n" s="16">
        <v>2.0</v>
      </c>
      <c r="F77" t="n" s="16">
        <v>707.0</v>
      </c>
      <c r="G77" s="21">
        <f>C77/B77</f>
      </c>
      <c r="H77" t="n" s="17">
        <v>18.0</v>
      </c>
      <c r="I77" t="n" s="17">
        <v>267.0</v>
      </c>
      <c r="J77" s="23">
        <f>I77/F77</f>
      </c>
      <c r="K77" t="n" s="17">
        <v>422.0</v>
      </c>
      <c r="L77" s="23">
        <f>K77/F77</f>
      </c>
      <c r="M77" t="n" s="16">
        <v>28.0</v>
      </c>
      <c r="N77" t="n" s="16">
        <v>398.0</v>
      </c>
      <c r="O77" s="21">
        <f>N77/F77</f>
      </c>
      <c r="P77" t="n" s="16">
        <v>281.0</v>
      </c>
      <c r="Q77" s="21">
        <f>P77/F77</f>
      </c>
      <c r="R77" t="n" s="17">
        <v>40.0</v>
      </c>
      <c r="S77" t="n" s="17">
        <v>234.0</v>
      </c>
      <c r="T77" s="23">
        <f>S77/F77</f>
      </c>
      <c r="U77" t="n" s="17">
        <v>433.0</v>
      </c>
      <c r="V77" s="23">
        <f>U77/F77</f>
      </c>
    </row>
    <row r="78">
      <c r="A78" t="s" s="16">
        <v>91</v>
      </c>
      <c r="B78" t="n" s="16">
        <v>759.0</v>
      </c>
      <c r="C78" t="n" s="16">
        <v>451.0</v>
      </c>
      <c r="D78" t="n" s="16">
        <v>12.0</v>
      </c>
      <c r="E78" t="n" s="16">
        <v>3.0</v>
      </c>
      <c r="F78" t="n" s="16">
        <v>448.0</v>
      </c>
      <c r="G78" s="21">
        <f>C78/B78</f>
      </c>
      <c r="H78" t="n" s="17">
        <v>1.0</v>
      </c>
      <c r="I78" t="n" s="17">
        <v>203.0</v>
      </c>
      <c r="J78" s="23">
        <f>I78/F78</f>
      </c>
      <c r="K78" t="n" s="17">
        <v>232.0</v>
      </c>
      <c r="L78" s="23">
        <f>K78/F78</f>
      </c>
      <c r="M78" t="n" s="16">
        <v>7.0</v>
      </c>
      <c r="N78" t="n" s="16">
        <v>214.0</v>
      </c>
      <c r="O78" s="21">
        <f>N78/F78</f>
      </c>
      <c r="P78" t="n" s="16">
        <v>215.0</v>
      </c>
      <c r="Q78" s="21">
        <f>P78/F78</f>
      </c>
      <c r="R78" t="n" s="17">
        <v>16.0</v>
      </c>
      <c r="S78" t="n" s="17">
        <v>185.0</v>
      </c>
      <c r="T78" s="23">
        <f>S78/F78</f>
      </c>
      <c r="U78" t="n" s="17">
        <v>235.0</v>
      </c>
      <c r="V78" s="23">
        <f>U78/F78</f>
      </c>
    </row>
    <row r="79">
      <c r="A79" t="s" s="16">
        <v>92</v>
      </c>
      <c r="B79" t="n" s="16">
        <v>225.0</v>
      </c>
      <c r="C79" t="n" s="16">
        <v>121.0</v>
      </c>
      <c r="D79" t="n" s="16">
        <v>0.0</v>
      </c>
      <c r="E79" t="n" s="16">
        <v>0.0</v>
      </c>
      <c r="F79" t="n" s="16">
        <v>121.0</v>
      </c>
      <c r="G79" s="21">
        <f>C79/B79</f>
      </c>
      <c r="H79" t="n" s="17">
        <v>5.0</v>
      </c>
      <c r="I79" t="n" s="17">
        <v>49.0</v>
      </c>
      <c r="J79" s="23">
        <f>I79/F79</f>
      </c>
      <c r="K79" t="n" s="17">
        <v>67.0</v>
      </c>
      <c r="L79" s="23">
        <f>K79/F79</f>
      </c>
      <c r="M79" t="n" s="16">
        <v>6.0</v>
      </c>
      <c r="N79" t="n" s="16">
        <v>69.0</v>
      </c>
      <c r="O79" s="21">
        <f>N79/F79</f>
      </c>
      <c r="P79" t="n" s="16">
        <v>46.0</v>
      </c>
      <c r="Q79" s="21">
        <f>P79/F79</f>
      </c>
      <c r="R79" t="n" s="17">
        <v>8.0</v>
      </c>
      <c r="S79" t="n" s="17">
        <v>47.0</v>
      </c>
      <c r="T79" s="23">
        <f>S79/F79</f>
      </c>
      <c r="U79" t="n" s="17">
        <v>66.0</v>
      </c>
      <c r="V79" s="23">
        <f>U79/F79</f>
      </c>
    </row>
    <row r="80">
      <c r="A80" t="s" s="16">
        <v>93</v>
      </c>
      <c r="B80" t="n" s="16">
        <v>125.0</v>
      </c>
      <c r="C80" t="n" s="16">
        <v>75.0</v>
      </c>
      <c r="D80" t="n" s="16">
        <v>1.0</v>
      </c>
      <c r="E80" t="n" s="16">
        <v>0.0</v>
      </c>
      <c r="F80" t="n" s="16">
        <v>75.0</v>
      </c>
      <c r="G80" s="21">
        <f>C80/B80</f>
      </c>
      <c r="H80" t="n" s="17">
        <v>0.0</v>
      </c>
      <c r="I80" t="n" s="17">
        <v>33.0</v>
      </c>
      <c r="J80" s="23">
        <f>I80/F80</f>
      </c>
      <c r="K80" t="n" s="17">
        <v>41.0</v>
      </c>
      <c r="L80" s="23">
        <f>K80/F80</f>
      </c>
      <c r="M80" t="n" s="16">
        <v>1.0</v>
      </c>
      <c r="N80" t="n" s="16">
        <v>42.0</v>
      </c>
      <c r="O80" s="21">
        <f>N80/F80</f>
      </c>
      <c r="P80" t="n" s="16">
        <v>31.0</v>
      </c>
      <c r="Q80" s="21">
        <f>P80/F80</f>
      </c>
      <c r="R80" t="n" s="17">
        <v>1.0</v>
      </c>
      <c r="S80" t="n" s="17">
        <v>31.0</v>
      </c>
      <c r="T80" s="23">
        <f>S80/F80</f>
      </c>
      <c r="U80" t="n" s="17">
        <v>42.0</v>
      </c>
      <c r="V80" s="23">
        <f>U80/F80</f>
      </c>
    </row>
    <row r="81">
      <c r="A81" t="s" s="16">
        <v>94</v>
      </c>
      <c r="B81" t="n" s="16">
        <v>421.0</v>
      </c>
      <c r="C81" t="n" s="16">
        <v>267.0</v>
      </c>
      <c r="D81" t="n" s="16">
        <v>5.0</v>
      </c>
      <c r="E81" t="n" s="16">
        <v>1.0</v>
      </c>
      <c r="F81" t="n" s="16">
        <v>266.0</v>
      </c>
      <c r="G81" s="21">
        <f>C81/B81</f>
      </c>
      <c r="H81" t="n" s="17">
        <v>3.0</v>
      </c>
      <c r="I81" t="n" s="17">
        <v>89.0</v>
      </c>
      <c r="J81" s="23">
        <f>I81/F81</f>
      </c>
      <c r="K81" t="n" s="17">
        <v>169.0</v>
      </c>
      <c r="L81" s="23">
        <f>K81/F81</f>
      </c>
      <c r="M81" t="n" s="16">
        <v>8.0</v>
      </c>
      <c r="N81" t="n" s="16">
        <v>157.0</v>
      </c>
      <c r="O81" s="21">
        <f>N81/F81</f>
      </c>
      <c r="P81" t="n" s="16">
        <v>96.0</v>
      </c>
      <c r="Q81" s="21">
        <f>P81/F81</f>
      </c>
      <c r="R81" t="n" s="17">
        <v>7.0</v>
      </c>
      <c r="S81" t="n" s="17">
        <v>78.0</v>
      </c>
      <c r="T81" s="23">
        <f>S81/F81</f>
      </c>
      <c r="U81" t="n" s="17">
        <v>176.0</v>
      </c>
      <c r="V81" s="23">
        <f>U81/F81</f>
      </c>
    </row>
    <row r="82">
      <c r="A82" t="s" s="16">
        <v>95</v>
      </c>
      <c r="B82" t="n" s="16">
        <v>387.0</v>
      </c>
      <c r="C82" t="n" s="16">
        <v>241.0</v>
      </c>
      <c r="D82" t="n" s="16">
        <v>0.0</v>
      </c>
      <c r="E82" t="n" s="16">
        <v>1.0</v>
      </c>
      <c r="F82" t="n" s="16">
        <v>240.0</v>
      </c>
      <c r="G82" s="21">
        <f>C82/B82</f>
      </c>
      <c r="H82" t="n" s="17">
        <v>10.0</v>
      </c>
      <c r="I82" t="n" s="17">
        <v>94.0</v>
      </c>
      <c r="J82" s="23">
        <f>I82/F82</f>
      </c>
      <c r="K82" t="n" s="17">
        <v>136.0</v>
      </c>
      <c r="L82" s="23">
        <f>K82/F82</f>
      </c>
      <c r="M82" t="n" s="16">
        <v>11.0</v>
      </c>
      <c r="N82" t="n" s="16">
        <v>132.0</v>
      </c>
      <c r="O82" s="21">
        <f>N82/F82</f>
      </c>
      <c r="P82" t="n" s="16">
        <v>97.0</v>
      </c>
      <c r="Q82" s="21">
        <f>P82/F82</f>
      </c>
      <c r="R82" t="n" s="17">
        <v>14.0</v>
      </c>
      <c r="S82" t="n" s="17">
        <v>93.0</v>
      </c>
      <c r="T82" s="23">
        <f>S82/F82</f>
      </c>
      <c r="U82" t="n" s="17">
        <v>133.0</v>
      </c>
      <c r="V82" s="23">
        <f>U82/F82</f>
      </c>
    </row>
    <row r="83">
      <c r="A83" t="s" s="16">
        <v>96</v>
      </c>
      <c r="B83" t="n" s="16">
        <v>1843.0</v>
      </c>
      <c r="C83" t="n" s="16">
        <v>960.0</v>
      </c>
      <c r="D83" t="n" s="16">
        <v>67.0</v>
      </c>
      <c r="E83" t="n" s="16">
        <v>1.0</v>
      </c>
      <c r="F83" t="n" s="16">
        <v>959.0</v>
      </c>
      <c r="G83" s="21">
        <f>C83/B83</f>
      </c>
      <c r="H83" t="n" s="17">
        <v>13.0</v>
      </c>
      <c r="I83" t="n" s="17">
        <v>407.0</v>
      </c>
      <c r="J83" s="23">
        <f>I83/F83</f>
      </c>
      <c r="K83" t="n" s="17">
        <v>472.0</v>
      </c>
      <c r="L83" s="23">
        <f>K83/F83</f>
      </c>
      <c r="M83" t="n" s="16">
        <v>21.0</v>
      </c>
      <c r="N83" t="n" s="16">
        <v>451.0</v>
      </c>
      <c r="O83" s="21">
        <f>N83/F83</f>
      </c>
      <c r="P83" t="n" s="16">
        <v>420.0</v>
      </c>
      <c r="Q83" s="21">
        <f>P83/F83</f>
      </c>
      <c r="R83" t="n" s="17">
        <v>34.0</v>
      </c>
      <c r="S83" t="n" s="17">
        <v>380.0</v>
      </c>
      <c r="T83" s="23">
        <f>S83/F83</f>
      </c>
      <c r="U83" t="n" s="17">
        <v>478.0</v>
      </c>
      <c r="V83" s="23">
        <f>U83/F83</f>
      </c>
    </row>
    <row r="84">
      <c r="A84" t="s" s="16">
        <v>97</v>
      </c>
      <c r="B84" t="n" s="16">
        <v>1120.0</v>
      </c>
      <c r="C84" t="n" s="16">
        <v>582.0</v>
      </c>
      <c r="D84" t="n" s="16">
        <v>39.0</v>
      </c>
      <c r="E84" t="n" s="16">
        <v>0.0</v>
      </c>
      <c r="F84" t="n" s="16">
        <v>582.0</v>
      </c>
      <c r="G84" s="21">
        <f>C84/B84</f>
      </c>
      <c r="H84" t="n" s="17">
        <v>14.0</v>
      </c>
      <c r="I84" t="n" s="17">
        <v>213.0</v>
      </c>
      <c r="J84" s="23">
        <f>I84/F84</f>
      </c>
      <c r="K84" t="n" s="17">
        <v>316.0</v>
      </c>
      <c r="L84" s="23">
        <f>K84/F84</f>
      </c>
      <c r="M84" t="n" s="16">
        <v>8.0</v>
      </c>
      <c r="N84" t="n" s="16">
        <v>298.0</v>
      </c>
      <c r="O84" s="21">
        <f>N84/F84</f>
      </c>
      <c r="P84" t="n" s="16">
        <v>237.0</v>
      </c>
      <c r="Q84" s="21">
        <f>P84/F84</f>
      </c>
      <c r="R84" t="n" s="17">
        <v>17.0</v>
      </c>
      <c r="S84" t="n" s="17">
        <v>200.0</v>
      </c>
      <c r="T84" s="23">
        <f>S84/F84</f>
      </c>
      <c r="U84" t="n" s="17">
        <v>326.0</v>
      </c>
      <c r="V84" s="23">
        <f>U84/F84</f>
      </c>
    </row>
    <row r="85">
      <c r="A85" t="s" s="16">
        <v>98</v>
      </c>
      <c r="B85" t="n" s="16">
        <v>325.0</v>
      </c>
      <c r="C85" t="n" s="16">
        <v>181.0</v>
      </c>
      <c r="D85" t="n" s="16">
        <v>9.0</v>
      </c>
      <c r="E85" t="n" s="16">
        <v>0.0</v>
      </c>
      <c r="F85" t="n" s="16">
        <v>181.0</v>
      </c>
      <c r="G85" s="21">
        <f>C85/B85</f>
      </c>
      <c r="H85" t="n" s="17">
        <v>6.0</v>
      </c>
      <c r="I85" t="n" s="17">
        <v>72.0</v>
      </c>
      <c r="J85" s="23">
        <f>I85/F85</f>
      </c>
      <c r="K85" t="n" s="17">
        <v>94.0</v>
      </c>
      <c r="L85" s="23">
        <f>K85/F85</f>
      </c>
      <c r="M85" t="n" s="16">
        <v>3.0</v>
      </c>
      <c r="N85" t="n" s="16">
        <v>91.0</v>
      </c>
      <c r="O85" s="21">
        <f>N85/F85</f>
      </c>
      <c r="P85" t="n" s="16">
        <v>78.0</v>
      </c>
      <c r="Q85" s="21">
        <f>P85/F85</f>
      </c>
      <c r="R85" t="n" s="17">
        <v>3.0</v>
      </c>
      <c r="S85" t="n" s="17">
        <v>71.0</v>
      </c>
      <c r="T85" s="23">
        <f>S85/F85</f>
      </c>
      <c r="U85" t="n" s="17">
        <v>98.0</v>
      </c>
      <c r="V85" s="23">
        <f>U85/F85</f>
      </c>
    </row>
    <row r="86">
      <c r="A86" t="s" s="16">
        <v>99</v>
      </c>
      <c r="B86" t="n" s="16">
        <v>524.0</v>
      </c>
      <c r="C86" t="n" s="16">
        <v>290.0</v>
      </c>
      <c r="D86" t="n" s="16">
        <v>0.0</v>
      </c>
      <c r="E86" t="n" s="16">
        <v>0.0</v>
      </c>
      <c r="F86" t="n" s="16">
        <v>290.0</v>
      </c>
      <c r="G86" s="21">
        <f>C86/B86</f>
      </c>
      <c r="H86" t="n" s="17">
        <v>20.0</v>
      </c>
      <c r="I86" t="n" s="17">
        <v>95.0</v>
      </c>
      <c r="J86" s="23">
        <f>I86/F86</f>
      </c>
      <c r="K86" t="n" s="17">
        <v>175.0</v>
      </c>
      <c r="L86" s="23">
        <f>K86/F86</f>
      </c>
      <c r="M86" t="n" s="16">
        <v>22.0</v>
      </c>
      <c r="N86" t="n" s="16">
        <v>175.0</v>
      </c>
      <c r="O86" s="21">
        <f>N86/F86</f>
      </c>
      <c r="P86" t="n" s="16">
        <v>93.0</v>
      </c>
      <c r="Q86" s="21">
        <f>P86/F86</f>
      </c>
      <c r="R86" t="n" s="17">
        <v>26.0</v>
      </c>
      <c r="S86" t="n" s="17">
        <v>86.0</v>
      </c>
      <c r="T86" s="23">
        <f>S86/F86</f>
      </c>
      <c r="U86" t="n" s="17">
        <v>178.0</v>
      </c>
      <c r="V86" s="23">
        <f>U86/F86</f>
      </c>
    </row>
    <row r="87">
      <c r="A87" t="s" s="16">
        <v>100</v>
      </c>
      <c r="B87" t="n" s="16">
        <v>212.0</v>
      </c>
      <c r="C87" t="n" s="16">
        <v>149.0</v>
      </c>
      <c r="D87" t="n" s="16">
        <v>1.0</v>
      </c>
      <c r="E87" t="n" s="16">
        <v>4.0</v>
      </c>
      <c r="F87" t="n" s="16">
        <v>145.0</v>
      </c>
      <c r="G87" s="21">
        <f>C87/B87</f>
      </c>
      <c r="H87" t="n" s="17">
        <v>2.0</v>
      </c>
      <c r="I87" t="n" s="17">
        <v>90.0</v>
      </c>
      <c r="J87" s="23">
        <f>I87/F87</f>
      </c>
      <c r="K87" t="n" s="17">
        <v>52.0</v>
      </c>
      <c r="L87" s="23">
        <f>K87/F87</f>
      </c>
      <c r="M87" t="n" s="16">
        <v>5.0</v>
      </c>
      <c r="N87" t="n" s="16">
        <v>55.0</v>
      </c>
      <c r="O87" s="21">
        <f>N87/F87</f>
      </c>
      <c r="P87" t="n" s="16">
        <v>84.0</v>
      </c>
      <c r="Q87" s="21">
        <f>P87/F87</f>
      </c>
      <c r="R87" t="n" s="17">
        <v>4.0</v>
      </c>
      <c r="S87" t="n" s="17">
        <v>48.0</v>
      </c>
      <c r="T87" s="23">
        <f>S87/F87</f>
      </c>
      <c r="U87" t="n" s="17">
        <v>92.0</v>
      </c>
      <c r="V87" s="23">
        <f>U87/F87</f>
      </c>
    </row>
    <row r="88">
      <c r="A88" t="s" s="16">
        <v>101</v>
      </c>
      <c r="B88" t="n" s="16">
        <v>538.0</v>
      </c>
      <c r="C88" t="n" s="16">
        <v>329.0</v>
      </c>
      <c r="D88" t="n" s="16">
        <v>0.0</v>
      </c>
      <c r="E88" t="n" s="16">
        <v>1.0</v>
      </c>
      <c r="F88" t="n" s="16">
        <v>328.0</v>
      </c>
      <c r="G88" s="21">
        <f>C88/B88</f>
      </c>
      <c r="H88" t="n" s="17">
        <v>17.0</v>
      </c>
      <c r="I88" t="n" s="17">
        <v>108.0</v>
      </c>
      <c r="J88" s="23">
        <f>I88/F88</f>
      </c>
      <c r="K88" t="n" s="17">
        <v>203.0</v>
      </c>
      <c r="L88" s="23">
        <f>K88/F88</f>
      </c>
      <c r="M88" t="n" s="16">
        <v>19.0</v>
      </c>
      <c r="N88" t="n" s="16">
        <v>193.0</v>
      </c>
      <c r="O88" s="21">
        <f>N88/F88</f>
      </c>
      <c r="P88" t="n" s="16">
        <v>116.0</v>
      </c>
      <c r="Q88" s="21">
        <f>P88/F88</f>
      </c>
      <c r="R88" t="n" s="17">
        <v>26.0</v>
      </c>
      <c r="S88" t="n" s="17">
        <v>98.0</v>
      </c>
      <c r="T88" s="23">
        <f>S88/F88</f>
      </c>
      <c r="U88" t="n" s="17">
        <v>204.0</v>
      </c>
      <c r="V88" s="23">
        <f>U88/F88</f>
      </c>
    </row>
    <row r="89">
      <c r="A89" t="s" s="16">
        <v>102</v>
      </c>
      <c r="B89" t="n" s="16">
        <v>787.0</v>
      </c>
      <c r="C89" t="n" s="16">
        <v>448.0</v>
      </c>
      <c r="D89" t="n" s="16">
        <v>20.0</v>
      </c>
      <c r="E89" t="n" s="16">
        <v>0.0</v>
      </c>
      <c r="F89" t="n" s="16">
        <v>448.0</v>
      </c>
      <c r="G89" s="21">
        <f>C89/B89</f>
      </c>
      <c r="H89" t="n" s="17">
        <v>0.0</v>
      </c>
      <c r="I89" t="n" s="17">
        <v>174.0</v>
      </c>
      <c r="J89" s="23">
        <f>I89/F89</f>
      </c>
      <c r="K89" t="n" s="17">
        <v>254.0</v>
      </c>
      <c r="L89" s="23">
        <f>K89/F89</f>
      </c>
      <c r="M89" t="n" s="16">
        <v>8.0</v>
      </c>
      <c r="N89" t="n" s="16">
        <v>254.0</v>
      </c>
      <c r="O89" s="21">
        <f>N89/F89</f>
      </c>
      <c r="P89" t="n" s="16">
        <v>166.0</v>
      </c>
      <c r="Q89" s="21">
        <f>P89/F89</f>
      </c>
      <c r="R89" t="n" s="17">
        <v>10.0</v>
      </c>
      <c r="S89" t="n" s="17">
        <v>149.0</v>
      </c>
      <c r="T89" s="23">
        <f>S89/F89</f>
      </c>
      <c r="U89" t="n" s="17">
        <v>269.0</v>
      </c>
      <c r="V89" s="23">
        <f>U89/F89</f>
      </c>
    </row>
    <row r="90">
      <c r="A90" t="s" s="16">
        <v>103</v>
      </c>
      <c r="B90" t="n" s="16">
        <v>886.0</v>
      </c>
      <c r="C90" t="n" s="16">
        <v>497.0</v>
      </c>
      <c r="D90" t="n" s="16">
        <v>28.0</v>
      </c>
      <c r="E90" t="n" s="16">
        <v>2.0</v>
      </c>
      <c r="F90" t="n" s="16">
        <v>495.0</v>
      </c>
      <c r="G90" s="21">
        <f>C90/B90</f>
      </c>
      <c r="H90" t="n" s="17">
        <v>7.0</v>
      </c>
      <c r="I90" t="n" s="17">
        <v>170.0</v>
      </c>
      <c r="J90" s="23">
        <f>I90/F90</f>
      </c>
      <c r="K90" t="n" s="17">
        <v>290.0</v>
      </c>
      <c r="L90" s="23">
        <f>K90/F90</f>
      </c>
      <c r="M90" t="n" s="16">
        <v>11.0</v>
      </c>
      <c r="N90" t="n" s="16">
        <v>283.0</v>
      </c>
      <c r="O90" s="21">
        <f>N90/F90</f>
      </c>
      <c r="P90" t="n" s="16">
        <v>173.0</v>
      </c>
      <c r="Q90" s="21">
        <f>P90/F90</f>
      </c>
      <c r="R90" t="n" s="17">
        <v>26.0</v>
      </c>
      <c r="S90" t="n" s="17">
        <v>157.0</v>
      </c>
      <c r="T90" s="23">
        <f>S90/F90</f>
      </c>
      <c r="U90" t="n" s="17">
        <v>284.0</v>
      </c>
      <c r="V90" s="23">
        <f>U90/F90</f>
      </c>
    </row>
    <row r="91">
      <c r="A91" t="s" s="16">
        <v>104</v>
      </c>
      <c r="B91" t="n" s="16">
        <v>710.0</v>
      </c>
      <c r="C91" t="n" s="16">
        <v>406.0</v>
      </c>
      <c r="D91" t="n" s="16">
        <v>21.0</v>
      </c>
      <c r="E91" t="n" s="16">
        <v>0.0</v>
      </c>
      <c r="F91" t="n" s="16">
        <v>406.0</v>
      </c>
      <c r="G91" s="21">
        <f>C91/B91</f>
      </c>
      <c r="H91" t="n" s="17">
        <v>3.0</v>
      </c>
      <c r="I91" t="n" s="17">
        <v>142.0</v>
      </c>
      <c r="J91" s="23">
        <f>I91/F91</f>
      </c>
      <c r="K91" t="n" s="17">
        <v>240.0</v>
      </c>
      <c r="L91" s="23">
        <f>K91/F91</f>
      </c>
      <c r="M91" t="n" s="16">
        <v>7.0</v>
      </c>
      <c r="N91" t="n" s="16">
        <v>225.0</v>
      </c>
      <c r="O91" s="21">
        <f>N91/F91</f>
      </c>
      <c r="P91" t="n" s="16">
        <v>153.0</v>
      </c>
      <c r="Q91" s="21">
        <f>P91/F91</f>
      </c>
      <c r="R91" t="n" s="17">
        <v>15.0</v>
      </c>
      <c r="S91" t="n" s="17">
        <v>129.0</v>
      </c>
      <c r="T91" s="23">
        <f>S91/F91</f>
      </c>
      <c r="U91" t="n" s="17">
        <v>241.0</v>
      </c>
      <c r="V91" s="23">
        <f>U91/F91</f>
      </c>
    </row>
    <row r="92">
      <c r="A92" t="s" s="16">
        <v>105</v>
      </c>
      <c r="B92" t="n" s="16">
        <v>898.0</v>
      </c>
      <c r="C92" t="n" s="16">
        <v>571.0</v>
      </c>
      <c r="D92" t="n" s="16">
        <v>13.0</v>
      </c>
      <c r="E92" t="n" s="16">
        <v>0.0</v>
      </c>
      <c r="F92" t="n" s="16">
        <v>571.0</v>
      </c>
      <c r="G92" s="21">
        <f>C92/B92</f>
      </c>
      <c r="H92" t="n" s="17">
        <v>2.0</v>
      </c>
      <c r="I92" t="n" s="17">
        <v>272.0</v>
      </c>
      <c r="J92" s="23">
        <f>I92/F92</f>
      </c>
      <c r="K92" t="n" s="17">
        <v>284.0</v>
      </c>
      <c r="L92" s="23">
        <f>K92/F92</f>
      </c>
      <c r="M92" t="n" s="16">
        <v>8.0</v>
      </c>
      <c r="N92" t="n" s="16">
        <v>275.0</v>
      </c>
      <c r="O92" s="21">
        <f>N92/F92</f>
      </c>
      <c r="P92" t="n" s="16">
        <v>275.0</v>
      </c>
      <c r="Q92" s="21">
        <f>P92/F92</f>
      </c>
      <c r="R92" t="n" s="17">
        <v>15.0</v>
      </c>
      <c r="S92" t="n" s="17">
        <v>252.0</v>
      </c>
      <c r="T92" s="23">
        <f>S92/F92</f>
      </c>
      <c r="U92" t="n" s="17">
        <v>291.0</v>
      </c>
      <c r="V92" s="23">
        <f>U92/F92</f>
      </c>
    </row>
    <row r="93">
      <c r="A93" t="s" s="18">
        <v>69</v>
      </c>
      <c r="B93" s="19">
        <f>SUM(B57:B92)</f>
      </c>
      <c r="C93" s="19">
        <f>SUM(C57:C92)</f>
      </c>
      <c r="D93" s="19">
        <f>SUM(D57:D92)</f>
      </c>
      <c r="E93" s="19">
        <f>SUM(E57:E92)</f>
      </c>
      <c r="F93" s="19">
        <f>SUM(F57:F92)</f>
      </c>
      <c r="G93" s="22">
        <f>C93/B93</f>
      </c>
      <c r="H93" s="19">
        <f>SUM(H57:H92)</f>
      </c>
      <c r="I93" s="19">
        <f>SUM(I57:I92)</f>
      </c>
      <c r="J93" s="22">
        <f>I93/F93</f>
      </c>
      <c r="K93" s="19">
        <f>SUM(K57:K92)</f>
      </c>
      <c r="L93" s="22">
        <f>K93/F93</f>
      </c>
      <c r="M93" s="19">
        <f>SUM(M57:M92)</f>
      </c>
      <c r="N93" s="19">
        <f>SUM(N57:N92)</f>
      </c>
      <c r="O93" s="22">
        <f>N93/F93</f>
      </c>
      <c r="P93" s="19">
        <f>SUM(P57:P92)</f>
      </c>
      <c r="Q93" s="22">
        <f>P93/F93</f>
      </c>
      <c r="R93" s="19">
        <f>SUM(R57:R92)</f>
      </c>
      <c r="S93" s="19">
        <f>SUM(S57:S92)</f>
      </c>
      <c r="T93" s="22">
        <f>S93/F93</f>
      </c>
      <c r="U93" s="19">
        <f>SUM(U57:U92)</f>
      </c>
      <c r="V93" s="22">
        <f>U93/F93</f>
      </c>
    </row>
    <row r="94"/>
    <row r="95">
      <c r="A95" t="s" s="15">
        <v>106</v>
      </c>
    </row>
    <row r="96">
      <c r="A96" t="s" s="16">
        <v>107</v>
      </c>
      <c r="B96" t="n" s="16">
        <v>237.0</v>
      </c>
      <c r="C96" t="n" s="16">
        <v>123.0</v>
      </c>
      <c r="D96" t="n" s="16">
        <v>1.0</v>
      </c>
      <c r="E96" t="n" s="16">
        <v>0.0</v>
      </c>
      <c r="F96" t="n" s="16">
        <v>123.0</v>
      </c>
      <c r="G96" s="21">
        <f>C96/B96</f>
      </c>
      <c r="H96" t="n" s="17">
        <v>3.0</v>
      </c>
      <c r="I96" t="n" s="17">
        <v>48.0</v>
      </c>
      <c r="J96" s="23">
        <f>I96/F96</f>
      </c>
      <c r="K96" t="n" s="17">
        <v>71.0</v>
      </c>
      <c r="L96" s="23">
        <f>K96/F96</f>
      </c>
      <c r="M96" t="n" s="16">
        <v>2.0</v>
      </c>
      <c r="N96" t="n" s="16">
        <v>60.0</v>
      </c>
      <c r="O96" s="21">
        <f>N96/F96</f>
      </c>
      <c r="P96" t="n" s="16">
        <v>60.0</v>
      </c>
      <c r="Q96" s="21">
        <f>P96/F96</f>
      </c>
      <c r="R96" t="n" s="17">
        <v>4.0</v>
      </c>
      <c r="S96" t="n" s="17">
        <v>45.0</v>
      </c>
      <c r="T96" s="23">
        <f>S96/F96</f>
      </c>
      <c r="U96" t="n" s="17">
        <v>73.0</v>
      </c>
      <c r="V96" s="23">
        <f>U96/F96</f>
      </c>
    </row>
    <row r="97">
      <c r="A97" t="s" s="16">
        <v>108</v>
      </c>
      <c r="B97" t="n" s="16">
        <v>475.0</v>
      </c>
      <c r="C97" t="n" s="16">
        <v>273.0</v>
      </c>
      <c r="D97" t="n" s="16">
        <v>14.0</v>
      </c>
      <c r="E97" t="n" s="16">
        <v>0.0</v>
      </c>
      <c r="F97" t="n" s="16">
        <v>273.0</v>
      </c>
      <c r="G97" s="21">
        <f>C97/B97</f>
      </c>
      <c r="H97" t="n" s="17">
        <v>0.0</v>
      </c>
      <c r="I97" t="n" s="17">
        <v>125.0</v>
      </c>
      <c r="J97" s="23">
        <f>I97/F97</f>
      </c>
      <c r="K97" t="n" s="17">
        <v>134.0</v>
      </c>
      <c r="L97" s="23">
        <f>K97/F97</f>
      </c>
      <c r="M97" t="n" s="16">
        <v>6.0</v>
      </c>
      <c r="N97" t="n" s="16">
        <v>115.0</v>
      </c>
      <c r="O97" s="21">
        <f>N97/F97</f>
      </c>
      <c r="P97" t="n" s="16">
        <v>138.0</v>
      </c>
      <c r="Q97" s="21">
        <f>P97/F97</f>
      </c>
      <c r="R97" t="n" s="17">
        <v>7.0</v>
      </c>
      <c r="S97" t="n" s="17">
        <v>116.0</v>
      </c>
      <c r="T97" s="23">
        <f>S97/F97</f>
      </c>
      <c r="U97" t="n" s="17">
        <v>136.0</v>
      </c>
      <c r="V97" s="23">
        <f>U97/F97</f>
      </c>
    </row>
    <row r="98">
      <c r="A98" t="s" s="16">
        <v>109</v>
      </c>
      <c r="B98" t="n" s="16">
        <v>734.0</v>
      </c>
      <c r="C98" t="n" s="16">
        <v>407.0</v>
      </c>
      <c r="D98" t="n" s="16">
        <v>26.0</v>
      </c>
      <c r="E98" t="n" s="16">
        <v>2.0</v>
      </c>
      <c r="F98" t="n" s="16">
        <v>405.0</v>
      </c>
      <c r="G98" s="21">
        <f>C98/B98</f>
      </c>
      <c r="H98" t="n" s="17">
        <v>8.0</v>
      </c>
      <c r="I98" t="n" s="17">
        <v>171.0</v>
      </c>
      <c r="J98" s="23">
        <f>I98/F98</f>
      </c>
      <c r="K98" t="n" s="17">
        <v>200.0</v>
      </c>
      <c r="L98" s="23">
        <f>K98/F98</f>
      </c>
      <c r="M98" t="n" s="16">
        <v>7.0</v>
      </c>
      <c r="N98" t="n" s="16">
        <v>198.0</v>
      </c>
      <c r="O98" s="21">
        <f>N98/F98</f>
      </c>
      <c r="P98" t="n" s="16">
        <v>174.0</v>
      </c>
      <c r="Q98" s="21">
        <f>P98/F98</f>
      </c>
      <c r="R98" t="n" s="17">
        <v>19.0</v>
      </c>
      <c r="S98" t="n" s="17">
        <v>152.0</v>
      </c>
      <c r="T98" s="23">
        <f>S98/F98</f>
      </c>
      <c r="U98" t="n" s="17">
        <v>208.0</v>
      </c>
      <c r="V98" s="23">
        <f>U98/F98</f>
      </c>
    </row>
    <row r="99">
      <c r="A99" t="s" s="16">
        <v>110</v>
      </c>
      <c r="B99" t="n" s="16">
        <v>769.0</v>
      </c>
      <c r="C99" t="n" s="16">
        <v>442.0</v>
      </c>
      <c r="D99" t="n" s="16">
        <v>15.0</v>
      </c>
      <c r="E99" t="n" s="16">
        <v>0.0</v>
      </c>
      <c r="F99" t="n" s="16">
        <v>442.0</v>
      </c>
      <c r="G99" s="21">
        <f>C99/B99</f>
      </c>
      <c r="H99" t="n" s="17">
        <v>0.0</v>
      </c>
      <c r="I99" t="n" s="17">
        <v>232.0</v>
      </c>
      <c r="J99" s="23">
        <f>I99/F99</f>
      </c>
      <c r="K99" t="n" s="17">
        <v>195.0</v>
      </c>
      <c r="L99" s="23">
        <f>K99/F99</f>
      </c>
      <c r="M99" t="n" s="16">
        <v>8.0</v>
      </c>
      <c r="N99" t="n" s="16">
        <v>204.0</v>
      </c>
      <c r="O99" s="21">
        <f>N99/F99</f>
      </c>
      <c r="P99" t="n" s="16">
        <v>215.0</v>
      </c>
      <c r="Q99" s="21">
        <f>P99/F99</f>
      </c>
      <c r="R99" t="n" s="17">
        <v>6.0</v>
      </c>
      <c r="S99" t="n" s="17">
        <v>213.0</v>
      </c>
      <c r="T99" s="23">
        <f>S99/F99</f>
      </c>
      <c r="U99" t="n" s="17">
        <v>208.0</v>
      </c>
      <c r="V99" s="23">
        <f>U99/F99</f>
      </c>
    </row>
    <row r="100">
      <c r="A100" t="s" s="16">
        <v>111</v>
      </c>
      <c r="B100" t="n" s="16">
        <v>690.0</v>
      </c>
      <c r="C100" t="n" s="16">
        <v>343.0</v>
      </c>
      <c r="D100" t="n" s="16">
        <v>0.0</v>
      </c>
      <c r="E100" t="n" s="16">
        <v>5.0</v>
      </c>
      <c r="F100" t="n" s="16">
        <v>338.0</v>
      </c>
      <c r="G100" s="21">
        <f>C100/B100</f>
      </c>
      <c r="H100" t="n" s="17">
        <v>15.0</v>
      </c>
      <c r="I100" t="n" s="17">
        <v>128.0</v>
      </c>
      <c r="J100" s="23">
        <f>I100/F100</f>
      </c>
      <c r="K100" t="n" s="17">
        <v>195.0</v>
      </c>
      <c r="L100" s="23">
        <f>K100/F100</f>
      </c>
      <c r="M100" t="n" s="16">
        <v>18.0</v>
      </c>
      <c r="N100" t="n" s="16">
        <v>181.0</v>
      </c>
      <c r="O100" s="21">
        <f>N100/F100</f>
      </c>
      <c r="P100" t="n" s="16">
        <v>139.0</v>
      </c>
      <c r="Q100" s="21">
        <f>P100/F100</f>
      </c>
      <c r="R100" t="n" s="17">
        <v>22.0</v>
      </c>
      <c r="S100" t="n" s="17">
        <v>124.0</v>
      </c>
      <c r="T100" s="23">
        <f>S100/F100</f>
      </c>
      <c r="U100" t="n" s="17">
        <v>192.0</v>
      </c>
      <c r="V100" s="23">
        <f>U100/F100</f>
      </c>
    </row>
    <row r="101">
      <c r="A101" t="s" s="16">
        <v>112</v>
      </c>
      <c r="B101" t="n" s="16">
        <v>308.0</v>
      </c>
      <c r="C101" t="n" s="16">
        <v>164.0</v>
      </c>
      <c r="D101" t="n" s="16">
        <v>1.0</v>
      </c>
      <c r="E101" t="n" s="16">
        <v>2.0</v>
      </c>
      <c r="F101" t="n" s="16">
        <v>162.0</v>
      </c>
      <c r="G101" s="21">
        <f>C101/B101</f>
      </c>
      <c r="H101" t="n" s="17">
        <v>0.0</v>
      </c>
      <c r="I101" t="n" s="17">
        <v>62.0</v>
      </c>
      <c r="J101" s="23">
        <f>I101/F101</f>
      </c>
      <c r="K101" t="n" s="17">
        <v>99.0</v>
      </c>
      <c r="L101" s="23">
        <f>K101/F101</f>
      </c>
      <c r="M101" t="n" s="16">
        <v>0.0</v>
      </c>
      <c r="N101" t="n" s="16">
        <v>66.0</v>
      </c>
      <c r="O101" s="21">
        <f>N101/F101</f>
      </c>
      <c r="P101" t="n" s="16">
        <v>95.0</v>
      </c>
      <c r="Q101" s="21">
        <f>P101/F101</f>
      </c>
      <c r="R101" t="n" s="17">
        <v>3.0</v>
      </c>
      <c r="S101" t="n" s="17">
        <v>61.0</v>
      </c>
      <c r="T101" s="23">
        <f>S101/F101</f>
      </c>
      <c r="U101" t="n" s="17">
        <v>97.0</v>
      </c>
      <c r="V101" s="23">
        <f>U101/F101</f>
      </c>
    </row>
    <row r="102">
      <c r="A102" t="s" s="16">
        <v>113</v>
      </c>
      <c r="B102" t="n" s="16">
        <v>194.0</v>
      </c>
      <c r="C102" t="n" s="16">
        <v>110.0</v>
      </c>
      <c r="D102" t="n" s="16">
        <v>6.0</v>
      </c>
      <c r="E102" t="n" s="16">
        <v>0.0</v>
      </c>
      <c r="F102" t="n" s="16">
        <v>110.0</v>
      </c>
      <c r="G102" s="21">
        <f>C102/B102</f>
      </c>
      <c r="H102" t="n" s="17">
        <v>2.0</v>
      </c>
      <c r="I102" t="n" s="17">
        <v>42.0</v>
      </c>
      <c r="J102" s="23">
        <f>I102/F102</f>
      </c>
      <c r="K102" t="n" s="17">
        <v>60.0</v>
      </c>
      <c r="L102" s="23">
        <f>K102/F102</f>
      </c>
      <c r="M102" t="n" s="16">
        <v>2.0</v>
      </c>
      <c r="N102" t="n" s="16">
        <v>58.0</v>
      </c>
      <c r="O102" s="21">
        <f>N102/F102</f>
      </c>
      <c r="P102" t="n" s="16">
        <v>44.0</v>
      </c>
      <c r="Q102" s="21">
        <f>P102/F102</f>
      </c>
      <c r="R102" t="n" s="17">
        <v>4.0</v>
      </c>
      <c r="S102" t="n" s="17">
        <v>42.0</v>
      </c>
      <c r="T102" s="23">
        <f>S102/F102</f>
      </c>
      <c r="U102" t="n" s="17">
        <v>58.0</v>
      </c>
      <c r="V102" s="23">
        <f>U102/F102</f>
      </c>
    </row>
    <row r="103">
      <c r="A103" t="s" s="16">
        <v>114</v>
      </c>
      <c r="B103" t="n" s="16">
        <v>148.0</v>
      </c>
      <c r="C103" t="n" s="16">
        <v>93.0</v>
      </c>
      <c r="D103" t="n" s="16">
        <v>0.0</v>
      </c>
      <c r="E103" t="n" s="16">
        <v>1.0</v>
      </c>
      <c r="F103" t="n" s="16">
        <v>92.0</v>
      </c>
      <c r="G103" s="21">
        <f>C103/B103</f>
      </c>
      <c r="H103" t="n" s="17">
        <v>5.0</v>
      </c>
      <c r="I103" t="n" s="17">
        <v>34.0</v>
      </c>
      <c r="J103" s="23">
        <f>I103/F103</f>
      </c>
      <c r="K103" t="n" s="17">
        <v>53.0</v>
      </c>
      <c r="L103" s="23">
        <f>K103/F103</f>
      </c>
      <c r="M103" t="n" s="16">
        <v>6.0</v>
      </c>
      <c r="N103" t="n" s="16">
        <v>51.0</v>
      </c>
      <c r="O103" s="21">
        <f>N103/F103</f>
      </c>
      <c r="P103" t="n" s="16">
        <v>35.0</v>
      </c>
      <c r="Q103" s="21">
        <f>P103/F103</f>
      </c>
      <c r="R103" t="n" s="17">
        <v>10.0</v>
      </c>
      <c r="S103" t="n" s="17">
        <v>27.0</v>
      </c>
      <c r="T103" s="23">
        <f>S103/F103</f>
      </c>
      <c r="U103" t="n" s="17">
        <v>55.0</v>
      </c>
      <c r="V103" s="23">
        <f>U103/F103</f>
      </c>
    </row>
    <row r="104">
      <c r="A104" t="s" s="16">
        <v>115</v>
      </c>
      <c r="B104" t="n" s="16">
        <v>385.0</v>
      </c>
      <c r="C104" t="n" s="16">
        <v>229.0</v>
      </c>
      <c r="D104" t="n" s="16">
        <v>0.0</v>
      </c>
      <c r="E104" t="n" s="16">
        <v>0.0</v>
      </c>
      <c r="F104" t="n" s="16">
        <v>229.0</v>
      </c>
      <c r="G104" s="21">
        <f>C104/B104</f>
      </c>
      <c r="H104" t="n" s="17">
        <v>6.0</v>
      </c>
      <c r="I104" t="n" s="17">
        <v>68.0</v>
      </c>
      <c r="J104" s="23">
        <f>I104/F104</f>
      </c>
      <c r="K104" t="n" s="17">
        <v>155.0</v>
      </c>
      <c r="L104" s="23">
        <f>K104/F104</f>
      </c>
      <c r="M104" t="n" s="16">
        <v>7.0</v>
      </c>
      <c r="N104" t="n" s="16">
        <v>145.0</v>
      </c>
      <c r="O104" s="21">
        <f>N104/F104</f>
      </c>
      <c r="P104" t="n" s="16">
        <v>77.0</v>
      </c>
      <c r="Q104" s="21">
        <f>P104/F104</f>
      </c>
      <c r="R104" t="n" s="17">
        <v>13.0</v>
      </c>
      <c r="S104" t="n" s="17">
        <v>65.0</v>
      </c>
      <c r="T104" s="23">
        <f>S104/F104</f>
      </c>
      <c r="U104" t="n" s="17">
        <v>151.0</v>
      </c>
      <c r="V104" s="23">
        <f>U104/F104</f>
      </c>
    </row>
    <row r="105">
      <c r="A105" t="s" s="16">
        <v>116</v>
      </c>
      <c r="B105" t="n" s="16">
        <v>196.0</v>
      </c>
      <c r="C105" t="n" s="16">
        <v>123.0</v>
      </c>
      <c r="D105" t="n" s="16">
        <v>1.0</v>
      </c>
      <c r="E105" t="n" s="16">
        <v>0.0</v>
      </c>
      <c r="F105" t="n" s="16">
        <v>123.0</v>
      </c>
      <c r="G105" s="21">
        <f>C105/B105</f>
      </c>
      <c r="H105" t="n" s="17">
        <v>1.0</v>
      </c>
      <c r="I105" t="n" s="17">
        <v>59.0</v>
      </c>
      <c r="J105" s="23">
        <f>I105/F105</f>
      </c>
      <c r="K105" t="n" s="17">
        <v>62.0</v>
      </c>
      <c r="L105" s="23">
        <f>K105/F105</f>
      </c>
      <c r="M105" t="n" s="16">
        <v>4.0</v>
      </c>
      <c r="N105" t="n" s="16">
        <v>61.0</v>
      </c>
      <c r="O105" s="21">
        <f>N105/F105</f>
      </c>
      <c r="P105" t="n" s="16">
        <v>57.0</v>
      </c>
      <c r="Q105" s="21">
        <f>P105/F105</f>
      </c>
      <c r="R105" t="n" s="17">
        <v>10.0</v>
      </c>
      <c r="S105" t="n" s="17">
        <v>50.0</v>
      </c>
      <c r="T105" s="23">
        <f>S105/F105</f>
      </c>
      <c r="U105" t="n" s="17">
        <v>62.0</v>
      </c>
      <c r="V105" s="23">
        <f>U105/F105</f>
      </c>
    </row>
    <row r="106">
      <c r="A106" t="s" s="16">
        <v>117</v>
      </c>
      <c r="B106" t="n" s="16">
        <v>532.0</v>
      </c>
      <c r="C106" t="n" s="16">
        <v>344.0</v>
      </c>
      <c r="D106" t="n" s="16">
        <v>17.0</v>
      </c>
      <c r="E106" t="n" s="16">
        <v>6.0</v>
      </c>
      <c r="F106" t="n" s="16">
        <v>338.0</v>
      </c>
      <c r="G106" s="21">
        <f>C106/B106</f>
      </c>
      <c r="H106" t="n" s="17">
        <v>11.0</v>
      </c>
      <c r="I106" t="n" s="17">
        <v>103.0</v>
      </c>
      <c r="J106" s="23">
        <f>I106/F106</f>
      </c>
      <c r="K106" t="n" s="17">
        <v>207.0</v>
      </c>
      <c r="L106" s="23">
        <f>K106/F106</f>
      </c>
      <c r="M106" t="n" s="16">
        <v>7.0</v>
      </c>
      <c r="N106" t="n" s="16">
        <v>192.0</v>
      </c>
      <c r="O106" s="21">
        <f>N106/F106</f>
      </c>
      <c r="P106" t="n" s="16">
        <v>122.0</v>
      </c>
      <c r="Q106" s="21">
        <f>P106/F106</f>
      </c>
      <c r="R106" t="n" s="17">
        <v>15.0</v>
      </c>
      <c r="S106" t="n" s="17">
        <v>107.0</v>
      </c>
      <c r="T106" s="23">
        <f>S106/F106</f>
      </c>
      <c r="U106" t="n" s="17">
        <v>199.0</v>
      </c>
      <c r="V106" s="23">
        <f>U106/F106</f>
      </c>
    </row>
    <row r="107">
      <c r="A107" t="s" s="16">
        <v>118</v>
      </c>
      <c r="B107" t="n" s="16">
        <v>434.0</v>
      </c>
      <c r="C107" t="n" s="16">
        <v>222.0</v>
      </c>
      <c r="D107" t="n" s="16">
        <v>0.0</v>
      </c>
      <c r="E107" t="n" s="16">
        <v>0.0</v>
      </c>
      <c r="F107" t="n" s="16">
        <v>222.0</v>
      </c>
      <c r="G107" s="21">
        <f>C107/B107</f>
      </c>
      <c r="H107" t="n" s="17">
        <v>8.0</v>
      </c>
      <c r="I107" t="n" s="17">
        <v>72.0</v>
      </c>
      <c r="J107" s="23">
        <f>I107/F107</f>
      </c>
      <c r="K107" t="n" s="17">
        <v>142.0</v>
      </c>
      <c r="L107" s="23">
        <f>K107/F107</f>
      </c>
      <c r="M107" t="n" s="16">
        <v>10.0</v>
      </c>
      <c r="N107" t="n" s="16">
        <v>129.0</v>
      </c>
      <c r="O107" s="21">
        <f>N107/F107</f>
      </c>
      <c r="P107" t="n" s="16">
        <v>83.0</v>
      </c>
      <c r="Q107" s="21">
        <f>P107/F107</f>
      </c>
      <c r="R107" t="n" s="17">
        <v>11.0</v>
      </c>
      <c r="S107" t="n" s="17">
        <v>63.0</v>
      </c>
      <c r="T107" s="23">
        <f>S107/F107</f>
      </c>
      <c r="U107" t="n" s="17">
        <v>148.0</v>
      </c>
      <c r="V107" s="23">
        <f>U107/F107</f>
      </c>
    </row>
    <row r="108">
      <c r="A108" t="s" s="16">
        <v>119</v>
      </c>
      <c r="B108" t="n" s="16">
        <v>720.0</v>
      </c>
      <c r="C108" t="n" s="16">
        <v>358.0</v>
      </c>
      <c r="D108" t="n" s="16">
        <v>12.0</v>
      </c>
      <c r="E108" t="n" s="16">
        <v>0.0</v>
      </c>
      <c r="F108" t="n" s="16">
        <v>358.0</v>
      </c>
      <c r="G108" s="21">
        <f>C108/B108</f>
      </c>
      <c r="H108" t="n" s="17">
        <v>4.0</v>
      </c>
      <c r="I108" t="n" s="17">
        <v>136.0</v>
      </c>
      <c r="J108" s="23">
        <f>I108/F108</f>
      </c>
      <c r="K108" t="n" s="17">
        <v>206.0</v>
      </c>
      <c r="L108" s="23">
        <f>K108/F108</f>
      </c>
      <c r="M108" t="n" s="16">
        <v>6.0</v>
      </c>
      <c r="N108" t="n" s="16">
        <v>197.0</v>
      </c>
      <c r="O108" s="21">
        <f>N108/F108</f>
      </c>
      <c r="P108" t="n" s="16">
        <v>143.0</v>
      </c>
      <c r="Q108" s="21">
        <f>P108/F108</f>
      </c>
      <c r="R108" t="n" s="17">
        <v>16.0</v>
      </c>
      <c r="S108" t="n" s="17">
        <v>121.0</v>
      </c>
      <c r="T108" s="23">
        <f>S108/F108</f>
      </c>
      <c r="U108" t="n" s="17">
        <v>209.0</v>
      </c>
      <c r="V108" s="23">
        <f>U108/F108</f>
      </c>
    </row>
    <row r="109">
      <c r="A109" t="s" s="16">
        <v>120</v>
      </c>
      <c r="B109" t="n" s="16">
        <v>449.0</v>
      </c>
      <c r="C109" t="n" s="16">
        <v>265.0</v>
      </c>
      <c r="D109" t="n" s="16">
        <v>0.0</v>
      </c>
      <c r="E109" t="n" s="16">
        <v>0.0</v>
      </c>
      <c r="F109" t="n" s="16">
        <v>265.0</v>
      </c>
      <c r="G109" s="21">
        <f>C109/B109</f>
      </c>
      <c r="H109" t="n" s="17">
        <v>11.0</v>
      </c>
      <c r="I109" t="n" s="17">
        <v>112.0</v>
      </c>
      <c r="J109" s="23">
        <f>I109/F109</f>
      </c>
      <c r="K109" t="n" s="17">
        <v>142.0</v>
      </c>
      <c r="L109" s="23">
        <f>K109/F109</f>
      </c>
      <c r="M109" t="n" s="16">
        <v>13.0</v>
      </c>
      <c r="N109" t="n" s="16">
        <v>140.0</v>
      </c>
      <c r="O109" s="21">
        <f>N109/F109</f>
      </c>
      <c r="P109" t="n" s="16">
        <v>112.0</v>
      </c>
      <c r="Q109" s="21">
        <f>P109/F109</f>
      </c>
      <c r="R109" t="n" s="17">
        <v>18.0</v>
      </c>
      <c r="S109" t="n" s="17">
        <v>106.0</v>
      </c>
      <c r="T109" s="23">
        <f>S109/F109</f>
      </c>
      <c r="U109" t="n" s="17">
        <v>141.0</v>
      </c>
      <c r="V109" s="23">
        <f>U109/F109</f>
      </c>
    </row>
    <row r="110">
      <c r="A110" t="s" s="16">
        <v>121</v>
      </c>
      <c r="B110" t="n" s="16">
        <v>232.0</v>
      </c>
      <c r="C110" t="n" s="16">
        <v>104.0</v>
      </c>
      <c r="D110" t="n" s="16">
        <v>0.0</v>
      </c>
      <c r="E110" t="n" s="16">
        <v>0.0</v>
      </c>
      <c r="F110" t="n" s="16">
        <v>104.0</v>
      </c>
      <c r="G110" s="21">
        <f>C110/B110</f>
      </c>
      <c r="H110" t="n" s="17">
        <v>4.0</v>
      </c>
      <c r="I110" t="n" s="17">
        <v>33.0</v>
      </c>
      <c r="J110" s="23">
        <f>I110/F110</f>
      </c>
      <c r="K110" t="n" s="17">
        <v>67.0</v>
      </c>
      <c r="L110" s="23">
        <f>K110/F110</f>
      </c>
      <c r="M110" t="n" s="16">
        <v>3.0</v>
      </c>
      <c r="N110" t="n" s="16">
        <v>64.0</v>
      </c>
      <c r="O110" s="21">
        <f>N110/F110</f>
      </c>
      <c r="P110" t="n" s="16">
        <v>37.0</v>
      </c>
      <c r="Q110" s="21">
        <f>P110/F110</f>
      </c>
      <c r="R110" t="n" s="17">
        <v>7.0</v>
      </c>
      <c r="S110" t="n" s="17">
        <v>30.0</v>
      </c>
      <c r="T110" s="23">
        <f>S110/F110</f>
      </c>
      <c r="U110" t="n" s="17">
        <v>67.0</v>
      </c>
      <c r="V110" s="23">
        <f>U110/F110</f>
      </c>
    </row>
    <row r="111">
      <c r="A111" t="s" s="16">
        <v>122</v>
      </c>
      <c r="B111" t="n" s="16">
        <v>3085.0</v>
      </c>
      <c r="C111" t="n" s="16">
        <v>1603.0</v>
      </c>
      <c r="D111" t="n" s="16">
        <v>90.0</v>
      </c>
      <c r="E111" t="n" s="16">
        <v>1.0</v>
      </c>
      <c r="F111" t="n" s="16">
        <v>1602.0</v>
      </c>
      <c r="G111" s="21">
        <f>C111/B111</f>
      </c>
      <c r="H111" t="n" s="17">
        <v>19.0</v>
      </c>
      <c r="I111" t="n" s="17">
        <v>744.0</v>
      </c>
      <c r="J111" s="23">
        <f>I111/F111</f>
      </c>
      <c r="K111" t="n" s="17">
        <v>749.0</v>
      </c>
      <c r="L111" s="23">
        <f>K111/F111</f>
      </c>
      <c r="M111" t="n" s="16">
        <v>34.0</v>
      </c>
      <c r="N111" t="n" s="16">
        <v>755.0</v>
      </c>
      <c r="O111" s="21">
        <f>N111/F111</f>
      </c>
      <c r="P111" t="n" s="16">
        <v>723.0</v>
      </c>
      <c r="Q111" s="21">
        <f>P111/F111</f>
      </c>
      <c r="R111" t="n" s="17">
        <v>73.0</v>
      </c>
      <c r="S111" t="n" s="17">
        <v>665.0</v>
      </c>
      <c r="T111" s="23">
        <f>S111/F111</f>
      </c>
      <c r="U111" t="n" s="17">
        <v>774.0</v>
      </c>
      <c r="V111" s="23">
        <f>U111/F111</f>
      </c>
    </row>
    <row r="112">
      <c r="A112" t="s" s="16">
        <v>123</v>
      </c>
      <c r="B112" t="n" s="16">
        <v>514.0</v>
      </c>
      <c r="C112" t="n" s="16">
        <v>323.0</v>
      </c>
      <c r="D112" t="n" s="16">
        <v>8.0</v>
      </c>
      <c r="E112" t="n" s="16">
        <v>1.0</v>
      </c>
      <c r="F112" t="n" s="16">
        <v>322.0</v>
      </c>
      <c r="G112" s="21">
        <f>C112/B112</f>
      </c>
      <c r="H112" t="n" s="17">
        <v>3.0</v>
      </c>
      <c r="I112" t="n" s="17">
        <v>128.0</v>
      </c>
      <c r="J112" s="23">
        <f>I112/F112</f>
      </c>
      <c r="K112" t="n" s="17">
        <v>183.0</v>
      </c>
      <c r="L112" s="23">
        <f>K112/F112</f>
      </c>
      <c r="M112" t="n" s="16">
        <v>4.0</v>
      </c>
      <c r="N112" t="n" s="16">
        <v>192.0</v>
      </c>
      <c r="O112" s="21">
        <f>N112/F112</f>
      </c>
      <c r="P112" t="n" s="16">
        <v>118.0</v>
      </c>
      <c r="Q112" s="21">
        <f>P112/F112</f>
      </c>
      <c r="R112" t="n" s="17">
        <v>10.0</v>
      </c>
      <c r="S112" t="n" s="17">
        <v>114.0</v>
      </c>
      <c r="T112" s="23">
        <f>S112/F112</f>
      </c>
      <c r="U112" t="n" s="17">
        <v>190.0</v>
      </c>
      <c r="V112" s="23">
        <f>U112/F112</f>
      </c>
    </row>
    <row r="113">
      <c r="A113" t="s" s="16">
        <v>124</v>
      </c>
      <c r="B113" t="n" s="16">
        <v>109.0</v>
      </c>
      <c r="C113" t="n" s="16">
        <v>62.0</v>
      </c>
      <c r="D113" t="n" s="16">
        <v>3.0</v>
      </c>
      <c r="E113" t="n" s="16">
        <v>0.0</v>
      </c>
      <c r="F113" t="n" s="16">
        <v>62.0</v>
      </c>
      <c r="G113" s="21">
        <f>C113/B113</f>
      </c>
      <c r="H113" t="n" s="17">
        <v>1.0</v>
      </c>
      <c r="I113" t="n" s="17">
        <v>23.0</v>
      </c>
      <c r="J113" s="23">
        <f>I113/F113</f>
      </c>
      <c r="K113" t="n" s="17">
        <v>35.0</v>
      </c>
      <c r="L113" s="23">
        <f>K113/F113</f>
      </c>
      <c r="M113" t="n" s="16">
        <v>2.0</v>
      </c>
      <c r="N113" t="n" s="16">
        <v>29.0</v>
      </c>
      <c r="O113" s="21">
        <f>N113/F113</f>
      </c>
      <c r="P113" t="n" s="16">
        <v>28.0</v>
      </c>
      <c r="Q113" s="21">
        <f>P113/F113</f>
      </c>
      <c r="R113" t="n" s="17">
        <v>4.0</v>
      </c>
      <c r="S113" t="n" s="17">
        <v>26.0</v>
      </c>
      <c r="T113" s="23">
        <f>S113/F113</f>
      </c>
      <c r="U113" t="n" s="17">
        <v>29.0</v>
      </c>
      <c r="V113" s="23">
        <f>U113/F113</f>
      </c>
    </row>
    <row r="114">
      <c r="A114" t="s" s="16">
        <v>125</v>
      </c>
      <c r="B114" t="n" s="16">
        <v>660.0</v>
      </c>
      <c r="C114" t="n" s="16">
        <v>366.0</v>
      </c>
      <c r="D114" t="n" s="16">
        <v>9.0</v>
      </c>
      <c r="E114" t="n" s="16">
        <v>0.0</v>
      </c>
      <c r="F114" t="n" s="16">
        <v>366.0</v>
      </c>
      <c r="G114" s="21">
        <f>C114/B114</f>
      </c>
      <c r="H114" t="n" s="17">
        <v>1.0</v>
      </c>
      <c r="I114" t="n" s="17">
        <v>157.0</v>
      </c>
      <c r="J114" s="23">
        <f>I114/F114</f>
      </c>
      <c r="K114" t="n" s="17">
        <v>199.0</v>
      </c>
      <c r="L114" s="23">
        <f>K114/F114</f>
      </c>
      <c r="M114" t="n" s="16">
        <v>9.0</v>
      </c>
      <c r="N114" t="n" s="16">
        <v>177.0</v>
      </c>
      <c r="O114" s="21">
        <f>N114/F114</f>
      </c>
      <c r="P114" t="n" s="16">
        <v>171.0</v>
      </c>
      <c r="Q114" s="21">
        <f>P114/F114</f>
      </c>
      <c r="R114" t="n" s="17">
        <v>12.0</v>
      </c>
      <c r="S114" t="n" s="17">
        <v>147.0</v>
      </c>
      <c r="T114" s="23">
        <f>S114/F114</f>
      </c>
      <c r="U114" t="n" s="17">
        <v>198.0</v>
      </c>
      <c r="V114" s="23">
        <f>U114/F114</f>
      </c>
    </row>
    <row r="115">
      <c r="A115" t="s" s="16">
        <v>126</v>
      </c>
      <c r="B115" t="n" s="16">
        <v>299.0</v>
      </c>
      <c r="C115" t="n" s="16">
        <v>144.0</v>
      </c>
      <c r="D115" t="n" s="16">
        <v>0.0</v>
      </c>
      <c r="E115" t="n" s="16">
        <v>0.0</v>
      </c>
      <c r="F115" t="n" s="16">
        <v>144.0</v>
      </c>
      <c r="G115" s="21">
        <f>C115/B115</f>
      </c>
      <c r="H115" t="n" s="17">
        <v>3.0</v>
      </c>
      <c r="I115" t="n" s="17">
        <v>70.0</v>
      </c>
      <c r="J115" s="23">
        <f>I115/F115</f>
      </c>
      <c r="K115" t="n" s="17">
        <v>71.0</v>
      </c>
      <c r="L115" s="23">
        <f>K115/F115</f>
      </c>
      <c r="M115" t="n" s="16">
        <v>5.0</v>
      </c>
      <c r="N115" t="n" s="16">
        <v>62.0</v>
      </c>
      <c r="O115" s="21">
        <f>N115/F115</f>
      </c>
      <c r="P115" t="n" s="16">
        <v>77.0</v>
      </c>
      <c r="Q115" s="21">
        <f>P115/F115</f>
      </c>
      <c r="R115" t="n" s="17">
        <v>4.0</v>
      </c>
      <c r="S115" t="n" s="17">
        <v>67.0</v>
      </c>
      <c r="T115" s="23">
        <f>S115/F115</f>
      </c>
      <c r="U115" t="n" s="17">
        <v>73.0</v>
      </c>
      <c r="V115" s="23">
        <f>U115/F115</f>
      </c>
    </row>
    <row r="116">
      <c r="A116" t="s" s="16">
        <v>127</v>
      </c>
      <c r="B116" t="n" s="16">
        <v>318.0</v>
      </c>
      <c r="C116" t="n" s="16">
        <v>206.0</v>
      </c>
      <c r="D116" t="n" s="16">
        <v>9.0</v>
      </c>
      <c r="E116" t="n" s="16">
        <v>2.0</v>
      </c>
      <c r="F116" t="n" s="16">
        <v>204.0</v>
      </c>
      <c r="G116" s="21">
        <f>C116/B116</f>
      </c>
      <c r="H116" t="n" s="17">
        <v>1.0</v>
      </c>
      <c r="I116" t="n" s="17">
        <v>91.0</v>
      </c>
      <c r="J116" s="23">
        <f>I116/F116</f>
      </c>
      <c r="K116" t="n" s="17">
        <v>103.0</v>
      </c>
      <c r="L116" s="23">
        <f>K116/F116</f>
      </c>
      <c r="M116" t="n" s="16">
        <v>1.0</v>
      </c>
      <c r="N116" t="n" s="16">
        <v>99.0</v>
      </c>
      <c r="O116" s="21">
        <f>N116/F116</f>
      </c>
      <c r="P116" t="n" s="16">
        <v>95.0</v>
      </c>
      <c r="Q116" s="21">
        <f>P116/F116</f>
      </c>
      <c r="R116" t="n" s="17">
        <v>7.0</v>
      </c>
      <c r="S116" t="n" s="17">
        <v>90.0</v>
      </c>
      <c r="T116" s="23">
        <f>S116/F116</f>
      </c>
      <c r="U116" t="n" s="17">
        <v>98.0</v>
      </c>
      <c r="V116" s="23">
        <f>U116/F116</f>
      </c>
    </row>
    <row r="117">
      <c r="A117" t="s" s="16">
        <v>128</v>
      </c>
      <c r="B117" t="n" s="16">
        <v>293.0</v>
      </c>
      <c r="C117" t="n" s="16">
        <v>172.0</v>
      </c>
      <c r="D117" t="n" s="16">
        <v>3.0</v>
      </c>
      <c r="E117" t="n" s="16">
        <v>0.0</v>
      </c>
      <c r="F117" t="n" s="16">
        <v>172.0</v>
      </c>
      <c r="G117" s="21">
        <f>C117/B117</f>
      </c>
      <c r="H117" t="n" s="17">
        <v>2.0</v>
      </c>
      <c r="I117" t="n" s="17">
        <v>91.0</v>
      </c>
      <c r="J117" s="23">
        <f>I117/F117</f>
      </c>
      <c r="K117" t="n" s="17">
        <v>76.0</v>
      </c>
      <c r="L117" s="23">
        <f>K117/F117</f>
      </c>
      <c r="M117" t="n" s="16">
        <v>2.0</v>
      </c>
      <c r="N117" t="n" s="16">
        <v>68.0</v>
      </c>
      <c r="O117" s="21">
        <f>N117/F117</f>
      </c>
      <c r="P117" t="n" s="16">
        <v>99.0</v>
      </c>
      <c r="Q117" s="21">
        <f>P117/F117</f>
      </c>
      <c r="R117" t="n" s="17">
        <v>9.0</v>
      </c>
      <c r="S117" t="n" s="17">
        <v>89.0</v>
      </c>
      <c r="T117" s="23">
        <f>S117/F117</f>
      </c>
      <c r="U117" t="n" s="17">
        <v>71.0</v>
      </c>
      <c r="V117" s="23">
        <f>U117/F117</f>
      </c>
    </row>
    <row r="118">
      <c r="A118" t="s" s="16">
        <v>129</v>
      </c>
      <c r="B118" t="n" s="16">
        <v>169.0</v>
      </c>
      <c r="C118" t="n" s="16">
        <v>114.0</v>
      </c>
      <c r="D118" t="n" s="16">
        <v>3.0</v>
      </c>
      <c r="E118" t="n" s="16">
        <v>0.0</v>
      </c>
      <c r="F118" t="n" s="16">
        <v>114.0</v>
      </c>
      <c r="G118" s="21">
        <f>C118/B118</f>
      </c>
      <c r="H118" t="n" s="17">
        <v>0.0</v>
      </c>
      <c r="I118" t="n" s="17">
        <v>35.0</v>
      </c>
      <c r="J118" s="23">
        <f>I118/F118</f>
      </c>
      <c r="K118" t="n" s="17">
        <v>76.0</v>
      </c>
      <c r="L118" s="23">
        <f>K118/F118</f>
      </c>
      <c r="M118" t="n" s="16">
        <v>4.0</v>
      </c>
      <c r="N118" t="n" s="16">
        <v>58.0</v>
      </c>
      <c r="O118" s="21">
        <f>N118/F118</f>
      </c>
      <c r="P118" t="n" s="16">
        <v>49.0</v>
      </c>
      <c r="Q118" s="21">
        <f>P118/F118</f>
      </c>
      <c r="R118" t="n" s="17">
        <v>8.0</v>
      </c>
      <c r="S118" t="n" s="17">
        <v>34.0</v>
      </c>
      <c r="T118" s="23">
        <f>S118/F118</f>
      </c>
      <c r="U118" t="n" s="17">
        <v>69.0</v>
      </c>
      <c r="V118" s="23">
        <f>U118/F118</f>
      </c>
    </row>
    <row r="119">
      <c r="A119" t="s" s="16">
        <v>130</v>
      </c>
      <c r="B119" t="n" s="16">
        <v>594.0</v>
      </c>
      <c r="C119" t="n" s="16">
        <v>350.0</v>
      </c>
      <c r="D119" t="n" s="16">
        <v>14.0</v>
      </c>
      <c r="E119" t="n" s="16">
        <v>0.0</v>
      </c>
      <c r="F119" t="n" s="16">
        <v>350.0</v>
      </c>
      <c r="G119" s="21">
        <f>C119/B119</f>
      </c>
      <c r="H119" t="n" s="17">
        <v>4.0</v>
      </c>
      <c r="I119" t="n" s="17">
        <v>136.0</v>
      </c>
      <c r="J119" s="23">
        <f>I119/F119</f>
      </c>
      <c r="K119" t="n" s="17">
        <v>196.0</v>
      </c>
      <c r="L119" s="23">
        <f>K119/F119</f>
      </c>
      <c r="M119" t="n" s="16">
        <v>6.0</v>
      </c>
      <c r="N119" t="n" s="16">
        <v>191.0</v>
      </c>
      <c r="O119" s="21">
        <f>N119/F119</f>
      </c>
      <c r="P119" t="n" s="16">
        <v>139.0</v>
      </c>
      <c r="Q119" s="21">
        <f>P119/F119</f>
      </c>
      <c r="R119" t="n" s="17">
        <v>18.0</v>
      </c>
      <c r="S119" t="n" s="17">
        <v>123.0</v>
      </c>
      <c r="T119" s="23">
        <f>S119/F119</f>
      </c>
      <c r="U119" t="n" s="17">
        <v>195.0</v>
      </c>
      <c r="V119" s="23">
        <f>U119/F119</f>
      </c>
    </row>
    <row r="120">
      <c r="A120" t="s" s="16">
        <v>131</v>
      </c>
      <c r="B120" t="n" s="16">
        <v>123.0</v>
      </c>
      <c r="C120" t="n" s="16">
        <v>84.0</v>
      </c>
      <c r="D120" t="n" s="16">
        <v>1.0</v>
      </c>
      <c r="E120" t="n" s="16">
        <v>0.0</v>
      </c>
      <c r="F120" t="n" s="16">
        <v>84.0</v>
      </c>
      <c r="G120" s="21">
        <f>C120/B120</f>
      </c>
      <c r="H120" t="n" s="17">
        <v>0.0</v>
      </c>
      <c r="I120" t="n" s="17">
        <v>32.0</v>
      </c>
      <c r="J120" s="23">
        <f>I120/F120</f>
      </c>
      <c r="K120" t="n" s="17">
        <v>51.0</v>
      </c>
      <c r="L120" s="23">
        <f>K120/F120</f>
      </c>
      <c r="M120" t="n" s="16">
        <v>4.0</v>
      </c>
      <c r="N120" t="n" s="16">
        <v>43.0</v>
      </c>
      <c r="O120" s="21">
        <f>N120/F120</f>
      </c>
      <c r="P120" t="n" s="16">
        <v>36.0</v>
      </c>
      <c r="Q120" s="21">
        <f>P120/F120</f>
      </c>
      <c r="R120" t="n" s="17">
        <v>9.0</v>
      </c>
      <c r="S120" t="n" s="17">
        <v>24.0</v>
      </c>
      <c r="T120" s="23">
        <f>S120/F120</f>
      </c>
      <c r="U120" t="n" s="17">
        <v>50.0</v>
      </c>
      <c r="V120" s="23">
        <f>U120/F120</f>
      </c>
    </row>
    <row r="121">
      <c r="A121" t="s" s="16">
        <v>132</v>
      </c>
      <c r="B121" t="n" s="16">
        <v>243.0</v>
      </c>
      <c r="C121" t="n" s="16">
        <v>140.0</v>
      </c>
      <c r="D121" t="n" s="16">
        <v>0.0</v>
      </c>
      <c r="E121" t="n" s="16">
        <v>0.0</v>
      </c>
      <c r="F121" t="n" s="16">
        <v>140.0</v>
      </c>
      <c r="G121" s="21">
        <f>C121/B121</f>
      </c>
      <c r="H121" t="n" s="17">
        <v>2.0</v>
      </c>
      <c r="I121" t="n" s="17">
        <v>53.0</v>
      </c>
      <c r="J121" s="23">
        <f>I121/F121</f>
      </c>
      <c r="K121" t="n" s="17">
        <v>85.0</v>
      </c>
      <c r="L121" s="23">
        <f>K121/F121</f>
      </c>
      <c r="M121" t="n" s="16">
        <v>8.0</v>
      </c>
      <c r="N121" t="n" s="16">
        <v>78.0</v>
      </c>
      <c r="O121" s="21">
        <f>N121/F121</f>
      </c>
      <c r="P121" t="n" s="16">
        <v>54.0</v>
      </c>
      <c r="Q121" s="21">
        <f>P121/F121</f>
      </c>
      <c r="R121" t="n" s="17">
        <v>7.0</v>
      </c>
      <c r="S121" t="n" s="17">
        <v>50.0</v>
      </c>
      <c r="T121" s="23">
        <f>S121/F121</f>
      </c>
      <c r="U121" t="n" s="17">
        <v>83.0</v>
      </c>
      <c r="V121" s="23">
        <f>U121/F121</f>
      </c>
    </row>
    <row r="122">
      <c r="A122" t="s" s="16">
        <v>133</v>
      </c>
      <c r="B122" t="n" s="16">
        <v>308.0</v>
      </c>
      <c r="C122" t="n" s="16">
        <v>166.0</v>
      </c>
      <c r="D122" t="n" s="16">
        <v>3.0</v>
      </c>
      <c r="E122" t="n" s="16">
        <v>0.0</v>
      </c>
      <c r="F122" t="n" s="16">
        <v>166.0</v>
      </c>
      <c r="G122" s="21">
        <f>C122/B122</f>
      </c>
      <c r="H122" t="n" s="17">
        <v>3.0</v>
      </c>
      <c r="I122" t="n" s="17">
        <v>81.0</v>
      </c>
      <c r="J122" s="23">
        <f>I122/F122</f>
      </c>
      <c r="K122" t="n" s="17">
        <v>79.0</v>
      </c>
      <c r="L122" s="23">
        <f>K122/F122</f>
      </c>
      <c r="M122" t="n" s="16">
        <v>0.0</v>
      </c>
      <c r="N122" t="n" s="16">
        <v>86.0</v>
      </c>
      <c r="O122" s="21">
        <f>N122/F122</f>
      </c>
      <c r="P122" t="n" s="16">
        <v>77.0</v>
      </c>
      <c r="Q122" s="21">
        <f>P122/F122</f>
      </c>
      <c r="R122" t="n" s="17">
        <v>8.0</v>
      </c>
      <c r="S122" t="n" s="17">
        <v>71.0</v>
      </c>
      <c r="T122" s="23">
        <f>S122/F122</f>
      </c>
      <c r="U122" t="n" s="17">
        <v>84.0</v>
      </c>
      <c r="V122" s="23">
        <f>U122/F122</f>
      </c>
    </row>
    <row r="123">
      <c r="A123" t="s" s="16">
        <v>134</v>
      </c>
      <c r="B123" t="n" s="16">
        <v>155.0</v>
      </c>
      <c r="C123" t="n" s="16">
        <v>76.0</v>
      </c>
      <c r="D123" t="n" s="16">
        <v>0.0</v>
      </c>
      <c r="E123" t="n" s="16">
        <v>1.0</v>
      </c>
      <c r="F123" t="n" s="16">
        <v>75.0</v>
      </c>
      <c r="G123" s="21">
        <f>C123/B123</f>
      </c>
      <c r="H123" t="n" s="17">
        <v>0.0</v>
      </c>
      <c r="I123" t="n" s="17">
        <v>30.0</v>
      </c>
      <c r="J123" s="23">
        <f>I123/F123</f>
      </c>
      <c r="K123" t="n" s="17">
        <v>45.0</v>
      </c>
      <c r="L123" s="23">
        <f>K123/F123</f>
      </c>
      <c r="M123" t="n" s="16">
        <v>1.0</v>
      </c>
      <c r="N123" t="n" s="16">
        <v>47.0</v>
      </c>
      <c r="O123" s="21">
        <f>N123/F123</f>
      </c>
      <c r="P123" t="n" s="16">
        <v>27.0</v>
      </c>
      <c r="Q123" s="21">
        <f>P123/F123</f>
      </c>
      <c r="R123" t="n" s="17">
        <v>0.0</v>
      </c>
      <c r="S123" t="n" s="17">
        <v>26.0</v>
      </c>
      <c r="T123" s="23">
        <f>S123/F123</f>
      </c>
      <c r="U123" t="n" s="17">
        <v>49.0</v>
      </c>
      <c r="V123" s="23">
        <f>U123/F123</f>
      </c>
    </row>
    <row r="124">
      <c r="A124" t="s" s="16">
        <v>135</v>
      </c>
      <c r="B124" t="n" s="16">
        <v>313.0</v>
      </c>
      <c r="C124" t="n" s="16">
        <v>181.0</v>
      </c>
      <c r="D124" t="n" s="16">
        <v>0.0</v>
      </c>
      <c r="E124" t="n" s="16">
        <v>0.0</v>
      </c>
      <c r="F124" t="n" s="16">
        <v>181.0</v>
      </c>
      <c r="G124" s="21">
        <f>C124/B124</f>
      </c>
      <c r="H124" t="n" s="17">
        <v>8.0</v>
      </c>
      <c r="I124" t="n" s="17">
        <v>70.0</v>
      </c>
      <c r="J124" s="23">
        <f>I124/F124</f>
      </c>
      <c r="K124" t="n" s="17">
        <v>103.0</v>
      </c>
      <c r="L124" s="23">
        <f>K124/F124</f>
      </c>
      <c r="M124" t="n" s="16">
        <v>10.0</v>
      </c>
      <c r="N124" t="n" s="16">
        <v>94.0</v>
      </c>
      <c r="O124" s="21">
        <f>N124/F124</f>
      </c>
      <c r="P124" t="n" s="16">
        <v>77.0</v>
      </c>
      <c r="Q124" s="21">
        <f>P124/F124</f>
      </c>
      <c r="R124" t="n" s="17">
        <v>15.0</v>
      </c>
      <c r="S124" t="n" s="17">
        <v>67.0</v>
      </c>
      <c r="T124" s="23">
        <f>S124/F124</f>
      </c>
      <c r="U124" t="n" s="17">
        <v>99.0</v>
      </c>
      <c r="V124" s="23">
        <f>U124/F124</f>
      </c>
    </row>
    <row r="125">
      <c r="A125" t="s" s="16">
        <v>136</v>
      </c>
      <c r="B125" t="n" s="16">
        <v>157.0</v>
      </c>
      <c r="C125" t="n" s="16">
        <v>103.0</v>
      </c>
      <c r="D125" t="n" s="16">
        <v>3.0</v>
      </c>
      <c r="E125" t="n" s="16">
        <v>0.0</v>
      </c>
      <c r="F125" t="n" s="16">
        <v>103.0</v>
      </c>
      <c r="G125" s="21">
        <f>C125/B125</f>
      </c>
      <c r="H125" t="n" s="17">
        <v>1.0</v>
      </c>
      <c r="I125" t="n" s="17">
        <v>51.0</v>
      </c>
      <c r="J125" s="23">
        <f>I125/F125</f>
      </c>
      <c r="K125" t="n" s="17">
        <v>48.0</v>
      </c>
      <c r="L125" s="23">
        <f>K125/F125</f>
      </c>
      <c r="M125" t="n" s="16">
        <v>0.0</v>
      </c>
      <c r="N125" t="n" s="16">
        <v>49.0</v>
      </c>
      <c r="O125" s="21">
        <f>N125/F125</f>
      </c>
      <c r="P125" t="n" s="16">
        <v>51.0</v>
      </c>
      <c r="Q125" s="21">
        <f>P125/F125</f>
      </c>
      <c r="R125" t="n" s="17">
        <v>0.0</v>
      </c>
      <c r="S125" t="n" s="17">
        <v>49.0</v>
      </c>
      <c r="T125" s="23">
        <f>S125/F125</f>
      </c>
      <c r="U125" t="n" s="17">
        <v>51.0</v>
      </c>
      <c r="V125" s="23">
        <f>U125/F125</f>
      </c>
    </row>
    <row r="126">
      <c r="A126" t="s" s="16">
        <v>137</v>
      </c>
      <c r="B126" t="n" s="16">
        <v>2194.0</v>
      </c>
      <c r="C126" t="n" s="16">
        <v>1141.0</v>
      </c>
      <c r="D126" t="n" s="16">
        <v>74.0</v>
      </c>
      <c r="E126" t="n" s="16">
        <v>1.0</v>
      </c>
      <c r="F126" t="n" s="16">
        <v>1140.0</v>
      </c>
      <c r="G126" s="21">
        <f>C126/B126</f>
      </c>
      <c r="H126" t="n" s="17">
        <v>23.0</v>
      </c>
      <c r="I126" t="n" s="17">
        <v>507.0</v>
      </c>
      <c r="J126" s="23">
        <f>I126/F126</f>
      </c>
      <c r="K126" t="n" s="17">
        <v>536.0</v>
      </c>
      <c r="L126" s="23">
        <f>K126/F126</f>
      </c>
      <c r="M126" t="n" s="16">
        <v>24.0</v>
      </c>
      <c r="N126" t="n" s="16">
        <v>539.0</v>
      </c>
      <c r="O126" s="21">
        <f>N126/F126</f>
      </c>
      <c r="P126" t="n" s="16">
        <v>503.0</v>
      </c>
      <c r="Q126" s="21">
        <f>P126/F126</f>
      </c>
      <c r="R126" t="n" s="17">
        <v>53.0</v>
      </c>
      <c r="S126" t="n" s="17">
        <v>465.0</v>
      </c>
      <c r="T126" s="23">
        <f>S126/F126</f>
      </c>
      <c r="U126" t="n" s="17">
        <v>548.0</v>
      </c>
      <c r="V126" s="23">
        <f>U126/F126</f>
      </c>
    </row>
    <row r="127">
      <c r="A127" t="s" s="16">
        <v>138</v>
      </c>
      <c r="B127" t="n" s="16">
        <v>255.0</v>
      </c>
      <c r="C127" t="n" s="16">
        <v>152.0</v>
      </c>
      <c r="D127" t="n" s="16">
        <v>0.0</v>
      </c>
      <c r="E127" t="n" s="16">
        <v>0.0</v>
      </c>
      <c r="F127" t="n" s="16">
        <v>152.0</v>
      </c>
      <c r="G127" s="21">
        <f>C127/B127</f>
      </c>
      <c r="H127" t="n" s="17">
        <v>10.0</v>
      </c>
      <c r="I127" t="n" s="17">
        <v>60.0</v>
      </c>
      <c r="J127" s="23">
        <f>I127/F127</f>
      </c>
      <c r="K127" t="n" s="17">
        <v>82.0</v>
      </c>
      <c r="L127" s="23">
        <f>K127/F127</f>
      </c>
      <c r="M127" t="n" s="16">
        <v>9.0</v>
      </c>
      <c r="N127" t="n" s="16">
        <v>71.0</v>
      </c>
      <c r="O127" s="21">
        <f>N127/F127</f>
      </c>
      <c r="P127" t="n" s="16">
        <v>72.0</v>
      </c>
      <c r="Q127" s="21">
        <f>P127/F127</f>
      </c>
      <c r="R127" t="n" s="17">
        <v>13.0</v>
      </c>
      <c r="S127" t="n" s="17">
        <v>58.0</v>
      </c>
      <c r="T127" s="23">
        <f>S127/F127</f>
      </c>
      <c r="U127" t="n" s="17">
        <v>81.0</v>
      </c>
      <c r="V127" s="23">
        <f>U127/F127</f>
      </c>
    </row>
    <row r="128">
      <c r="A128" t="s" s="16">
        <v>139</v>
      </c>
      <c r="B128" t="n" s="16">
        <v>1082.0</v>
      </c>
      <c r="C128" t="n" s="16">
        <v>622.0</v>
      </c>
      <c r="D128" t="n" s="16">
        <v>13.0</v>
      </c>
      <c r="E128" t="n" s="16">
        <v>4.0</v>
      </c>
      <c r="F128" t="n" s="16">
        <v>618.0</v>
      </c>
      <c r="G128" s="21">
        <f>C128/B128</f>
      </c>
      <c r="H128" t="n" s="17">
        <v>13.0</v>
      </c>
      <c r="I128" t="n" s="17">
        <v>266.0</v>
      </c>
      <c r="J128" s="23">
        <f>I128/F128</f>
      </c>
      <c r="K128" t="n" s="17">
        <v>326.0</v>
      </c>
      <c r="L128" s="23">
        <f>K128/F128</f>
      </c>
      <c r="M128" t="n" s="16">
        <v>33.0</v>
      </c>
      <c r="N128" t="n" s="16">
        <v>307.0</v>
      </c>
      <c r="O128" s="21">
        <f>N128/F128</f>
      </c>
      <c r="P128" t="n" s="16">
        <v>265.0</v>
      </c>
      <c r="Q128" s="21">
        <f>P128/F128</f>
      </c>
      <c r="R128" t="n" s="17">
        <v>39.0</v>
      </c>
      <c r="S128" t="n" s="17">
        <v>246.0</v>
      </c>
      <c r="T128" s="23">
        <f>S128/F128</f>
      </c>
      <c r="U128" t="n" s="17">
        <v>320.0</v>
      </c>
      <c r="V128" s="23">
        <f>U128/F128</f>
      </c>
    </row>
    <row r="129">
      <c r="A129" t="s" s="16">
        <v>140</v>
      </c>
      <c r="B129" t="n" s="16">
        <v>197.0</v>
      </c>
      <c r="C129" t="n" s="16">
        <v>150.0</v>
      </c>
      <c r="D129" t="n" s="16">
        <v>0.0</v>
      </c>
      <c r="E129" t="n" s="16">
        <v>0.0</v>
      </c>
      <c r="F129" t="n" s="16">
        <v>150.0</v>
      </c>
      <c r="G129" s="21">
        <f>C129/B129</f>
      </c>
      <c r="H129" t="n" s="17">
        <v>4.0</v>
      </c>
      <c r="I129" t="n" s="17">
        <v>72.0</v>
      </c>
      <c r="J129" s="23">
        <f>I129/F129</f>
      </c>
      <c r="K129" t="n" s="17">
        <v>74.0</v>
      </c>
      <c r="L129" s="23">
        <f>K129/F129</f>
      </c>
      <c r="M129" t="n" s="16">
        <v>4.0</v>
      </c>
      <c r="N129" t="n" s="16">
        <v>74.0</v>
      </c>
      <c r="O129" s="21">
        <f>N129/F129</f>
      </c>
      <c r="P129" t="n" s="16">
        <v>72.0</v>
      </c>
      <c r="Q129" s="21">
        <f>P129/F129</f>
      </c>
      <c r="R129" t="n" s="17">
        <v>11.0</v>
      </c>
      <c r="S129" t="n" s="17">
        <v>68.0</v>
      </c>
      <c r="T129" s="23">
        <f>S129/F129</f>
      </c>
      <c r="U129" t="n" s="17">
        <v>71.0</v>
      </c>
      <c r="V129" s="23">
        <f>U129/F129</f>
      </c>
    </row>
    <row r="130">
      <c r="A130" t="s" s="16">
        <v>141</v>
      </c>
      <c r="B130" t="n" s="16">
        <v>143.0</v>
      </c>
      <c r="C130" t="n" s="16">
        <v>91.0</v>
      </c>
      <c r="D130" t="n" s="16">
        <v>5.0</v>
      </c>
      <c r="E130" t="n" s="16">
        <v>1.0</v>
      </c>
      <c r="F130" t="n" s="16">
        <v>90.0</v>
      </c>
      <c r="G130" s="21">
        <f>C130/B130</f>
      </c>
      <c r="H130" t="n" s="17">
        <v>1.0</v>
      </c>
      <c r="I130" t="n" s="17">
        <v>45.0</v>
      </c>
      <c r="J130" s="23">
        <f>I130/F130</f>
      </c>
      <c r="K130" t="n" s="17">
        <v>39.0</v>
      </c>
      <c r="L130" s="23">
        <f>K130/F130</f>
      </c>
      <c r="M130" t="n" s="16">
        <v>5.0</v>
      </c>
      <c r="N130" t="n" s="16">
        <v>40.0</v>
      </c>
      <c r="O130" s="21">
        <f>N130/F130</f>
      </c>
      <c r="P130" t="n" s="16">
        <v>40.0</v>
      </c>
      <c r="Q130" s="21">
        <f>P130/F130</f>
      </c>
      <c r="R130" t="n" s="17">
        <v>10.0</v>
      </c>
      <c r="S130" t="n" s="17">
        <v>43.0</v>
      </c>
      <c r="T130" s="23">
        <f>S130/F130</f>
      </c>
      <c r="U130" t="n" s="17">
        <v>32.0</v>
      </c>
      <c r="V130" s="23">
        <f>U130/F130</f>
      </c>
    </row>
    <row r="131">
      <c r="A131" t="s" s="16">
        <v>142</v>
      </c>
      <c r="B131" t="n" s="16">
        <v>2805.0</v>
      </c>
      <c r="C131" t="n" s="16">
        <v>1526.0</v>
      </c>
      <c r="D131" t="n" s="16">
        <v>106.0</v>
      </c>
      <c r="E131" t="n" s="16">
        <v>1.0</v>
      </c>
      <c r="F131" t="n" s="16">
        <v>1525.0</v>
      </c>
      <c r="G131" s="21">
        <f>C131/B131</f>
      </c>
      <c r="H131" t="n" s="17">
        <v>35.0</v>
      </c>
      <c r="I131" t="n" s="17">
        <v>682.0</v>
      </c>
      <c r="J131" s="23">
        <f>I131/F131</f>
      </c>
      <c r="K131" t="n" s="17">
        <v>702.0</v>
      </c>
      <c r="L131" s="23">
        <f>K131/F131</f>
      </c>
      <c r="M131" t="n" s="16">
        <v>45.0</v>
      </c>
      <c r="N131" t="n" s="16">
        <v>648.0</v>
      </c>
      <c r="O131" s="21">
        <f>N131/F131</f>
      </c>
      <c r="P131" t="n" s="16">
        <v>726.0</v>
      </c>
      <c r="Q131" s="21">
        <f>P131/F131</f>
      </c>
      <c r="R131" t="n" s="17">
        <v>67.0</v>
      </c>
      <c r="S131" t="n" s="17">
        <v>658.0</v>
      </c>
      <c r="T131" s="23">
        <f>S131/F131</f>
      </c>
      <c r="U131" t="n" s="17">
        <v>694.0</v>
      </c>
      <c r="V131" s="23">
        <f>U131/F131</f>
      </c>
    </row>
    <row r="132">
      <c r="A132" t="s" s="16">
        <v>143</v>
      </c>
      <c r="B132" t="n" s="16">
        <v>627.0</v>
      </c>
      <c r="C132" t="n" s="16">
        <v>372.0</v>
      </c>
      <c r="D132" t="n" s="16">
        <v>0.0</v>
      </c>
      <c r="E132" t="n" s="16">
        <v>0.0</v>
      </c>
      <c r="F132" t="n" s="16">
        <v>372.0</v>
      </c>
      <c r="G132" s="21">
        <f>C132/B132</f>
      </c>
      <c r="H132" t="n" s="17">
        <v>15.0</v>
      </c>
      <c r="I132" t="n" s="17">
        <v>176.0</v>
      </c>
      <c r="J132" s="23">
        <f>I132/F132</f>
      </c>
      <c r="K132" t="n" s="17">
        <v>181.0</v>
      </c>
      <c r="L132" s="23">
        <f>K132/F132</f>
      </c>
      <c r="M132" t="n" s="16">
        <v>19.0</v>
      </c>
      <c r="N132" t="n" s="16">
        <v>177.0</v>
      </c>
      <c r="O132" s="21">
        <f>N132/F132</f>
      </c>
      <c r="P132" t="n" s="16">
        <v>176.0</v>
      </c>
      <c r="Q132" s="21">
        <f>P132/F132</f>
      </c>
      <c r="R132" t="n" s="17">
        <v>19.0</v>
      </c>
      <c r="S132" t="n" s="17">
        <v>162.0</v>
      </c>
      <c r="T132" s="23">
        <f>S132/F132</f>
      </c>
      <c r="U132" t="n" s="17">
        <v>191.0</v>
      </c>
      <c r="V132" s="23">
        <f>U132/F132</f>
      </c>
    </row>
    <row r="133">
      <c r="A133" t="s" s="16">
        <v>144</v>
      </c>
      <c r="B133" t="n" s="16">
        <v>141.0</v>
      </c>
      <c r="C133" t="n" s="16">
        <v>74.0</v>
      </c>
      <c r="D133" t="n" s="16">
        <v>4.0</v>
      </c>
      <c r="E133" t="n" s="16">
        <v>1.0</v>
      </c>
      <c r="F133" t="n" s="16">
        <v>73.0</v>
      </c>
      <c r="G133" s="21">
        <f>C133/B133</f>
      </c>
      <c r="H133" t="n" s="17">
        <v>4.0</v>
      </c>
      <c r="I133" t="n" s="17">
        <v>36.0</v>
      </c>
      <c r="J133" s="23">
        <f>I133/F133</f>
      </c>
      <c r="K133" t="n" s="17">
        <v>29.0</v>
      </c>
      <c r="L133" s="23">
        <f>K133/F133</f>
      </c>
      <c r="M133" t="n" s="16">
        <v>3.0</v>
      </c>
      <c r="N133" t="n" s="16">
        <v>36.0</v>
      </c>
      <c r="O133" s="21">
        <f>N133/F133</f>
      </c>
      <c r="P133" t="n" s="16">
        <v>30.0</v>
      </c>
      <c r="Q133" s="21">
        <f>P133/F133</f>
      </c>
      <c r="R133" t="n" s="17">
        <v>4.0</v>
      </c>
      <c r="S133" t="n" s="17">
        <v>33.0</v>
      </c>
      <c r="T133" s="23">
        <f>S133/F133</f>
      </c>
      <c r="U133" t="n" s="17">
        <v>32.0</v>
      </c>
      <c r="V133" s="23">
        <f>U133/F133</f>
      </c>
    </row>
    <row r="134">
      <c r="A134" t="s" s="16">
        <v>145</v>
      </c>
      <c r="B134" t="n" s="16">
        <v>274.0</v>
      </c>
      <c r="C134" t="n" s="16">
        <v>167.0</v>
      </c>
      <c r="D134" t="n" s="16">
        <v>4.0</v>
      </c>
      <c r="E134" t="n" s="16">
        <v>4.0</v>
      </c>
      <c r="F134" t="n" s="16">
        <v>163.0</v>
      </c>
      <c r="G134" s="21">
        <f>C134/B134</f>
      </c>
      <c r="H134" t="n" s="17">
        <v>0.0</v>
      </c>
      <c r="I134" t="n" s="17">
        <v>60.0</v>
      </c>
      <c r="J134" s="23">
        <f>I134/F134</f>
      </c>
      <c r="K134" t="n" s="17">
        <v>99.0</v>
      </c>
      <c r="L134" s="23">
        <f>K134/F134</f>
      </c>
      <c r="M134" t="n" s="16">
        <v>2.0</v>
      </c>
      <c r="N134" t="n" s="16">
        <v>98.0</v>
      </c>
      <c r="O134" s="21">
        <f>N134/F134</f>
      </c>
      <c r="P134" t="n" s="16">
        <v>59.0</v>
      </c>
      <c r="Q134" s="21">
        <f>P134/F134</f>
      </c>
      <c r="R134" t="n" s="17">
        <v>6.0</v>
      </c>
      <c r="S134" t="n" s="17">
        <v>56.0</v>
      </c>
      <c r="T134" s="23">
        <f>S134/F134</f>
      </c>
      <c r="U134" t="n" s="17">
        <v>97.0</v>
      </c>
      <c r="V134" s="23">
        <f>U134/F134</f>
      </c>
    </row>
    <row r="135">
      <c r="A135" t="s" s="16">
        <v>146</v>
      </c>
      <c r="B135" t="n" s="16">
        <v>482.0</v>
      </c>
      <c r="C135" t="n" s="16">
        <v>258.0</v>
      </c>
      <c r="D135" t="n" s="16">
        <v>8.0</v>
      </c>
      <c r="E135" t="n" s="16">
        <v>0.0</v>
      </c>
      <c r="F135" t="n" s="16">
        <v>258.0</v>
      </c>
      <c r="G135" s="21">
        <f>C135/B135</f>
      </c>
      <c r="H135" t="n" s="17">
        <v>2.0</v>
      </c>
      <c r="I135" t="n" s="17">
        <v>114.0</v>
      </c>
      <c r="J135" s="23">
        <f>I135/F135</f>
      </c>
      <c r="K135" t="n" s="17">
        <v>134.0</v>
      </c>
      <c r="L135" s="23">
        <f>K135/F135</f>
      </c>
      <c r="M135" t="n" s="16">
        <v>4.0</v>
      </c>
      <c r="N135" t="n" s="16">
        <v>131.0</v>
      </c>
      <c r="O135" s="21">
        <f>N135/F135</f>
      </c>
      <c r="P135" t="n" s="16">
        <v>115.0</v>
      </c>
      <c r="Q135" s="21">
        <f>P135/F135</f>
      </c>
      <c r="R135" t="n" s="17">
        <v>13.0</v>
      </c>
      <c r="S135" t="n" s="17">
        <v>105.0</v>
      </c>
      <c r="T135" s="23">
        <f>S135/F135</f>
      </c>
      <c r="U135" t="n" s="17">
        <v>132.0</v>
      </c>
      <c r="V135" s="23">
        <f>U135/F135</f>
      </c>
    </row>
    <row r="136">
      <c r="A136" t="s" s="16">
        <v>147</v>
      </c>
      <c r="B136" t="n" s="16">
        <v>96.0</v>
      </c>
      <c r="C136" t="n" s="16">
        <v>70.0</v>
      </c>
      <c r="D136" t="n" s="16">
        <v>0.0</v>
      </c>
      <c r="E136" t="n" s="16">
        <v>0.0</v>
      </c>
      <c r="F136" t="n" s="16">
        <v>70.0</v>
      </c>
      <c r="G136" s="21">
        <f>C136/B136</f>
      </c>
      <c r="H136" t="n" s="17">
        <v>5.0</v>
      </c>
      <c r="I136" t="n" s="17">
        <v>25.0</v>
      </c>
      <c r="J136" s="23">
        <f>I136/F136</f>
      </c>
      <c r="K136" t="n" s="17">
        <v>40.0</v>
      </c>
      <c r="L136" s="23">
        <f>K136/F136</f>
      </c>
      <c r="M136" t="n" s="16">
        <v>6.0</v>
      </c>
      <c r="N136" t="n" s="16">
        <v>43.0</v>
      </c>
      <c r="O136" s="21">
        <f>N136/F136</f>
      </c>
      <c r="P136" t="n" s="16">
        <v>21.0</v>
      </c>
      <c r="Q136" s="21">
        <f>P136/F136</f>
      </c>
      <c r="R136" t="n" s="17">
        <v>7.0</v>
      </c>
      <c r="S136" t="n" s="17">
        <v>19.0</v>
      </c>
      <c r="T136" s="23">
        <f>S136/F136</f>
      </c>
      <c r="U136" t="n" s="17">
        <v>44.0</v>
      </c>
      <c r="V136" s="23">
        <f>U136/F136</f>
      </c>
    </row>
    <row r="137">
      <c r="A137" t="s" s="16">
        <v>148</v>
      </c>
      <c r="B137" t="n" s="16">
        <v>194.0</v>
      </c>
      <c r="C137" t="n" s="16">
        <v>93.0</v>
      </c>
      <c r="D137" t="n" s="16">
        <v>0.0</v>
      </c>
      <c r="E137" t="n" s="16">
        <v>0.0</v>
      </c>
      <c r="F137" t="n" s="16">
        <v>93.0</v>
      </c>
      <c r="G137" s="21">
        <f>C137/B137</f>
      </c>
      <c r="H137" t="n" s="17">
        <v>4.0</v>
      </c>
      <c r="I137" t="n" s="17">
        <v>27.0</v>
      </c>
      <c r="J137" s="23">
        <f>I137/F137</f>
      </c>
      <c r="K137" t="n" s="17">
        <v>62.0</v>
      </c>
      <c r="L137" s="23">
        <f>K137/F137</f>
      </c>
      <c r="M137" t="n" s="16">
        <v>1.0</v>
      </c>
      <c r="N137" t="n" s="16">
        <v>63.0</v>
      </c>
      <c r="O137" s="21">
        <f>N137/F137</f>
      </c>
      <c r="P137" t="n" s="16">
        <v>29.0</v>
      </c>
      <c r="Q137" s="21">
        <f>P137/F137</f>
      </c>
      <c r="R137" t="n" s="17">
        <v>8.0</v>
      </c>
      <c r="S137" t="n" s="17">
        <v>27.0</v>
      </c>
      <c r="T137" s="23">
        <f>S137/F137</f>
      </c>
      <c r="U137" t="n" s="17">
        <v>58.0</v>
      </c>
      <c r="V137" s="23">
        <f>U137/F137</f>
      </c>
    </row>
    <row r="138">
      <c r="A138" t="s" s="16">
        <v>149</v>
      </c>
      <c r="B138" t="n" s="16">
        <v>513.0</v>
      </c>
      <c r="C138" t="n" s="16">
        <v>242.0</v>
      </c>
      <c r="D138" t="n" s="16">
        <v>5.0</v>
      </c>
      <c r="E138" t="n" s="16">
        <v>1.0</v>
      </c>
      <c r="F138" t="n" s="16">
        <v>241.0</v>
      </c>
      <c r="G138" s="21">
        <f>C138/B138</f>
      </c>
      <c r="H138" t="n" s="17">
        <v>6.0</v>
      </c>
      <c r="I138" t="n" s="17">
        <v>97.0</v>
      </c>
      <c r="J138" s="23">
        <f>I138/F138</f>
      </c>
      <c r="K138" t="n" s="17">
        <v>133.0</v>
      </c>
      <c r="L138" s="23">
        <f>K138/F138</f>
      </c>
      <c r="M138" t="n" s="16">
        <v>7.0</v>
      </c>
      <c r="N138" t="n" s="16">
        <v>121.0</v>
      </c>
      <c r="O138" s="21">
        <f>N138/F138</f>
      </c>
      <c r="P138" t="n" s="16">
        <v>108.0</v>
      </c>
      <c r="Q138" s="21">
        <f>P138/F138</f>
      </c>
      <c r="R138" t="n" s="17">
        <v>18.0</v>
      </c>
      <c r="S138" t="n" s="17">
        <v>98.0</v>
      </c>
      <c r="T138" s="23">
        <f>S138/F138</f>
      </c>
      <c r="U138" t="n" s="17">
        <v>120.0</v>
      </c>
      <c r="V138" s="23">
        <f>U138/F138</f>
      </c>
    </row>
    <row r="139">
      <c r="A139" t="s" s="16">
        <v>150</v>
      </c>
      <c r="B139" t="n" s="16">
        <v>327.0</v>
      </c>
      <c r="C139" t="n" s="16">
        <v>170.0</v>
      </c>
      <c r="D139" t="n" s="16">
        <v>0.0</v>
      </c>
      <c r="E139" t="n" s="16">
        <v>0.0</v>
      </c>
      <c r="F139" t="n" s="16">
        <v>170.0</v>
      </c>
      <c r="G139" s="21">
        <f>C139/B139</f>
      </c>
      <c r="H139" t="n" s="17">
        <v>0.0</v>
      </c>
      <c r="I139" t="n" s="17">
        <v>80.0</v>
      </c>
      <c r="J139" s="23">
        <f>I139/F139</f>
      </c>
      <c r="K139" t="n" s="17">
        <v>90.0</v>
      </c>
      <c r="L139" s="23">
        <f>K139/F139</f>
      </c>
      <c r="M139" t="n" s="16">
        <v>1.0</v>
      </c>
      <c r="N139" t="n" s="16">
        <v>87.0</v>
      </c>
      <c r="O139" s="21">
        <f>N139/F139</f>
      </c>
      <c r="P139" t="n" s="16">
        <v>82.0</v>
      </c>
      <c r="Q139" s="21">
        <f>P139/F139</f>
      </c>
      <c r="R139" t="n" s="17">
        <v>11.0</v>
      </c>
      <c r="S139" t="n" s="17">
        <v>76.0</v>
      </c>
      <c r="T139" s="23">
        <f>S139/F139</f>
      </c>
      <c r="U139" t="n" s="17">
        <v>83.0</v>
      </c>
      <c r="V139" s="23">
        <f>U139/F139</f>
      </c>
    </row>
    <row r="140">
      <c r="A140" t="s" s="16">
        <v>151</v>
      </c>
      <c r="B140" t="n" s="16">
        <v>94.0</v>
      </c>
      <c r="C140" t="n" s="16">
        <v>45.0</v>
      </c>
      <c r="D140" t="n" s="16">
        <v>3.0</v>
      </c>
      <c r="E140" t="n" s="16">
        <v>0.0</v>
      </c>
      <c r="F140" t="n" s="16">
        <v>45.0</v>
      </c>
      <c r="G140" s="21">
        <f>C140/B140</f>
      </c>
      <c r="H140" t="n" s="17">
        <v>1.0</v>
      </c>
      <c r="I140" t="n" s="17">
        <v>11.0</v>
      </c>
      <c r="J140" s="23">
        <f>I140/F140</f>
      </c>
      <c r="K140" t="n" s="17">
        <v>30.0</v>
      </c>
      <c r="L140" s="23">
        <f>K140/F140</f>
      </c>
      <c r="M140" t="n" s="16">
        <v>0.0</v>
      </c>
      <c r="N140" t="n" s="16">
        <v>26.0</v>
      </c>
      <c r="O140" s="21">
        <f>N140/F140</f>
      </c>
      <c r="P140" t="n" s="16">
        <v>16.0</v>
      </c>
      <c r="Q140" s="21">
        <f>P140/F140</f>
      </c>
      <c r="R140" t="n" s="17">
        <v>3.0</v>
      </c>
      <c r="S140" t="n" s="17">
        <v>11.0</v>
      </c>
      <c r="T140" s="23">
        <f>S140/F140</f>
      </c>
      <c r="U140" t="n" s="17">
        <v>28.0</v>
      </c>
      <c r="V140" s="23">
        <f>U140/F140</f>
      </c>
    </row>
    <row r="141">
      <c r="A141" t="s" s="16">
        <v>152</v>
      </c>
      <c r="B141" t="n" s="16">
        <v>76.0</v>
      </c>
      <c r="C141" t="n" s="16">
        <v>53.0</v>
      </c>
      <c r="D141" t="n" s="16">
        <v>0.0</v>
      </c>
      <c r="E141" t="n" s="16">
        <v>0.0</v>
      </c>
      <c r="F141" t="n" s="16">
        <v>53.0</v>
      </c>
      <c r="G141" s="21">
        <f>C141/B141</f>
      </c>
      <c r="H141" t="n" s="17">
        <v>4.0</v>
      </c>
      <c r="I141" t="n" s="17">
        <v>25.0</v>
      </c>
      <c r="J141" s="23">
        <f>I141/F141</f>
      </c>
      <c r="K141" t="n" s="17">
        <v>24.0</v>
      </c>
      <c r="L141" s="23">
        <f>K141/F141</f>
      </c>
      <c r="M141" t="n" s="16">
        <v>0.0</v>
      </c>
      <c r="N141" t="n" s="16">
        <v>35.0</v>
      </c>
      <c r="O141" s="21">
        <f>N141/F141</f>
      </c>
      <c r="P141" t="n" s="16">
        <v>18.0</v>
      </c>
      <c r="Q141" s="21">
        <f>P141/F141</f>
      </c>
      <c r="R141" t="n" s="17">
        <v>1.0</v>
      </c>
      <c r="S141" t="n" s="17">
        <v>21.0</v>
      </c>
      <c r="T141" s="23">
        <f>S141/F141</f>
      </c>
      <c r="U141" t="n" s="17">
        <v>31.0</v>
      </c>
      <c r="V141" s="23">
        <f>U141/F141</f>
      </c>
    </row>
    <row r="142">
      <c r="A142" t="s" s="16">
        <v>153</v>
      </c>
      <c r="B142" t="n" s="16">
        <v>369.0</v>
      </c>
      <c r="C142" t="n" s="16">
        <v>214.0</v>
      </c>
      <c r="D142" t="n" s="16">
        <v>11.0</v>
      </c>
      <c r="E142" t="n" s="16">
        <v>2.0</v>
      </c>
      <c r="F142" t="n" s="16">
        <v>212.0</v>
      </c>
      <c r="G142" s="21">
        <f>C142/B142</f>
      </c>
      <c r="H142" t="n" s="17">
        <v>1.0</v>
      </c>
      <c r="I142" t="n" s="17">
        <v>96.0</v>
      </c>
      <c r="J142" s="23">
        <f>I142/F142</f>
      </c>
      <c r="K142" t="n" s="17">
        <v>104.0</v>
      </c>
      <c r="L142" s="23">
        <f>K142/F142</f>
      </c>
      <c r="M142" t="n" s="16">
        <v>4.0</v>
      </c>
      <c r="N142" t="n" s="16">
        <v>115.0</v>
      </c>
      <c r="O142" s="21">
        <f>N142/F142</f>
      </c>
      <c r="P142" t="n" s="16">
        <v>82.0</v>
      </c>
      <c r="Q142" s="21">
        <f>P142/F142</f>
      </c>
      <c r="R142" t="n" s="17">
        <v>7.0</v>
      </c>
      <c r="S142" t="n" s="17">
        <v>89.0</v>
      </c>
      <c r="T142" s="23">
        <f>S142/F142</f>
      </c>
      <c r="U142" t="n" s="17">
        <v>105.0</v>
      </c>
      <c r="V142" s="23">
        <f>U142/F142</f>
      </c>
    </row>
    <row r="143">
      <c r="A143" t="s" s="16">
        <v>154</v>
      </c>
      <c r="B143" t="n" s="16">
        <v>4110.0</v>
      </c>
      <c r="C143" t="n" s="16">
        <v>2022.0</v>
      </c>
      <c r="D143" t="n" s="16">
        <v>120.0</v>
      </c>
      <c r="E143" t="n" s="16">
        <v>6.0</v>
      </c>
      <c r="F143" t="n" s="16">
        <v>2016.0</v>
      </c>
      <c r="G143" s="21">
        <f>C143/B143</f>
      </c>
      <c r="H143" t="n" s="17">
        <v>41.0</v>
      </c>
      <c r="I143" t="n" s="17">
        <v>952.0</v>
      </c>
      <c r="J143" s="23">
        <f>I143/F143</f>
      </c>
      <c r="K143" t="n" s="17">
        <v>903.0</v>
      </c>
      <c r="L143" s="23">
        <f>K143/F143</f>
      </c>
      <c r="M143" t="n" s="16">
        <v>46.0</v>
      </c>
      <c r="N143" t="n" s="16">
        <v>881.0</v>
      </c>
      <c r="O143" s="21">
        <f>N143/F143</f>
      </c>
      <c r="P143" t="n" s="16">
        <v>969.0</v>
      </c>
      <c r="Q143" s="21">
        <f>P143/F143</f>
      </c>
      <c r="R143" t="n" s="17">
        <v>79.0</v>
      </c>
      <c r="S143" t="n" s="17">
        <v>886.0</v>
      </c>
      <c r="T143" s="23">
        <f>S143/F143</f>
      </c>
      <c r="U143" t="n" s="17">
        <v>931.0</v>
      </c>
      <c r="V143" s="23">
        <f>U143/F143</f>
      </c>
    </row>
    <row r="144">
      <c r="A144" t="s" s="16">
        <v>155</v>
      </c>
      <c r="B144" t="n" s="16">
        <v>280.0</v>
      </c>
      <c r="C144" t="n" s="16">
        <v>146.0</v>
      </c>
      <c r="D144" t="n" s="16">
        <v>0.0</v>
      </c>
      <c r="E144" t="n" s="16">
        <v>0.0</v>
      </c>
      <c r="F144" t="n" s="16">
        <v>146.0</v>
      </c>
      <c r="G144" s="21">
        <f>C144/B144</f>
      </c>
      <c r="H144" t="n" s="17">
        <v>2.0</v>
      </c>
      <c r="I144" t="n" s="17">
        <v>64.0</v>
      </c>
      <c r="J144" s="23">
        <f>I144/F144</f>
      </c>
      <c r="K144" t="n" s="17">
        <v>80.0</v>
      </c>
      <c r="L144" s="23">
        <f>K144/F144</f>
      </c>
      <c r="M144" t="n" s="16">
        <v>5.0</v>
      </c>
      <c r="N144" t="n" s="16">
        <v>74.0</v>
      </c>
      <c r="O144" s="21">
        <f>N144/F144</f>
      </c>
      <c r="P144" t="n" s="16">
        <v>67.0</v>
      </c>
      <c r="Q144" s="21">
        <f>P144/F144</f>
      </c>
      <c r="R144" t="n" s="17">
        <v>8.0</v>
      </c>
      <c r="S144" t="n" s="17">
        <v>57.0</v>
      </c>
      <c r="T144" s="23">
        <f>S144/F144</f>
      </c>
      <c r="U144" t="n" s="17">
        <v>81.0</v>
      </c>
      <c r="V144" s="23">
        <f>U144/F144</f>
      </c>
    </row>
    <row r="145">
      <c r="A145" t="s" s="16">
        <v>156</v>
      </c>
      <c r="B145" t="n" s="16">
        <v>155.0</v>
      </c>
      <c r="C145" t="n" s="16">
        <v>109.0</v>
      </c>
      <c r="D145" t="n" s="16">
        <v>2.0</v>
      </c>
      <c r="E145" t="n" s="16">
        <v>0.0</v>
      </c>
      <c r="F145" t="n" s="16">
        <v>109.0</v>
      </c>
      <c r="G145" s="21">
        <f>C145/B145</f>
      </c>
      <c r="H145" t="n" s="17">
        <v>0.0</v>
      </c>
      <c r="I145" t="n" s="17">
        <v>52.0</v>
      </c>
      <c r="J145" s="23">
        <f>I145/F145</f>
      </c>
      <c r="K145" t="n" s="17">
        <v>55.0</v>
      </c>
      <c r="L145" s="23">
        <f>K145/F145</f>
      </c>
      <c r="M145" t="n" s="16">
        <v>3.0</v>
      </c>
      <c r="N145" t="n" s="16">
        <v>49.0</v>
      </c>
      <c r="O145" s="21">
        <f>N145/F145</f>
      </c>
      <c r="P145" t="n" s="16">
        <v>55.0</v>
      </c>
      <c r="Q145" s="21">
        <f>P145/F145</f>
      </c>
      <c r="R145" t="n" s="17">
        <v>9.0</v>
      </c>
      <c r="S145" t="n" s="17">
        <v>45.0</v>
      </c>
      <c r="T145" s="23">
        <f>S145/F145</f>
      </c>
      <c r="U145" t="n" s="17">
        <v>53.0</v>
      </c>
      <c r="V145" s="23">
        <f>U145/F145</f>
      </c>
    </row>
    <row r="146">
      <c r="A146" t="s" s="16">
        <v>157</v>
      </c>
      <c r="B146" t="n" s="16">
        <v>615.0</v>
      </c>
      <c r="C146" t="n" s="16">
        <v>365.0</v>
      </c>
      <c r="D146" t="n" s="16">
        <v>21.0</v>
      </c>
      <c r="E146" t="n" s="16">
        <v>0.0</v>
      </c>
      <c r="F146" t="n" s="16">
        <v>365.0</v>
      </c>
      <c r="G146" s="21">
        <f>C146/B146</f>
      </c>
      <c r="H146" t="n" s="17">
        <v>10.0</v>
      </c>
      <c r="I146" t="n" s="17">
        <v>122.0</v>
      </c>
      <c r="J146" s="23">
        <f>I146/F146</f>
      </c>
      <c r="K146" t="n" s="17">
        <v>212.0</v>
      </c>
      <c r="L146" s="23">
        <f>K146/F146</f>
      </c>
      <c r="M146" t="n" s="16">
        <v>7.0</v>
      </c>
      <c r="N146" t="n" s="16">
        <v>192.0</v>
      </c>
      <c r="O146" s="21">
        <f>N146/F146</f>
      </c>
      <c r="P146" t="n" s="16">
        <v>145.0</v>
      </c>
      <c r="Q146" s="21">
        <f>P146/F146</f>
      </c>
      <c r="R146" t="n" s="17">
        <v>17.0</v>
      </c>
      <c r="S146" t="n" s="17">
        <v>118.0</v>
      </c>
      <c r="T146" s="23">
        <f>S146/F146</f>
      </c>
      <c r="U146" t="n" s="17">
        <v>209.0</v>
      </c>
      <c r="V146" s="23">
        <f>U146/F146</f>
      </c>
    </row>
    <row r="147">
      <c r="A147" t="s" s="16">
        <v>158</v>
      </c>
      <c r="B147" t="n" s="16">
        <v>176.0</v>
      </c>
      <c r="C147" t="n" s="16">
        <v>108.0</v>
      </c>
      <c r="D147" t="n" s="16">
        <v>0.0</v>
      </c>
      <c r="E147" t="n" s="16">
        <v>0.0</v>
      </c>
      <c r="F147" t="n" s="16">
        <v>108.0</v>
      </c>
      <c r="G147" s="21">
        <f>C147/B147</f>
      </c>
      <c r="H147" t="n" s="17">
        <v>2.0</v>
      </c>
      <c r="I147" t="n" s="17">
        <v>52.0</v>
      </c>
      <c r="J147" s="23">
        <f>I147/F147</f>
      </c>
      <c r="K147" t="n" s="17">
        <v>54.0</v>
      </c>
      <c r="L147" s="23">
        <f>K147/F147</f>
      </c>
      <c r="M147" t="n" s="16">
        <v>7.0</v>
      </c>
      <c r="N147" t="n" s="16">
        <v>52.0</v>
      </c>
      <c r="O147" s="21">
        <f>N147/F147</f>
      </c>
      <c r="P147" t="n" s="16">
        <v>49.0</v>
      </c>
      <c r="Q147" s="21">
        <f>P147/F147</f>
      </c>
      <c r="R147" t="n" s="17">
        <v>5.0</v>
      </c>
      <c r="S147" t="n" s="17">
        <v>49.0</v>
      </c>
      <c r="T147" s="23">
        <f>S147/F147</f>
      </c>
      <c r="U147" t="n" s="17">
        <v>54.0</v>
      </c>
      <c r="V147" s="23">
        <f>U147/F147</f>
      </c>
    </row>
    <row r="148">
      <c r="A148" t="s" s="16">
        <v>159</v>
      </c>
      <c r="B148" t="n" s="16">
        <v>309.0</v>
      </c>
      <c r="C148" t="n" s="16">
        <v>158.0</v>
      </c>
      <c r="D148" t="n" s="16">
        <v>0.0</v>
      </c>
      <c r="E148" t="n" s="16">
        <v>3.0</v>
      </c>
      <c r="F148" t="n" s="16">
        <v>155.0</v>
      </c>
      <c r="G148" s="21">
        <f>C148/B148</f>
      </c>
      <c r="H148" t="n" s="17">
        <v>1.0</v>
      </c>
      <c r="I148" t="n" s="17">
        <v>68.0</v>
      </c>
      <c r="J148" s="23">
        <f>I148/F148</f>
      </c>
      <c r="K148" t="n" s="17">
        <v>86.0</v>
      </c>
      <c r="L148" s="23">
        <f>K148/F148</f>
      </c>
      <c r="M148" t="n" s="16">
        <v>8.0</v>
      </c>
      <c r="N148" t="n" s="16">
        <v>91.0</v>
      </c>
      <c r="O148" s="21">
        <f>N148/F148</f>
      </c>
      <c r="P148" t="n" s="16">
        <v>56.0</v>
      </c>
      <c r="Q148" s="21">
        <f>P148/F148</f>
      </c>
      <c r="R148" t="n" s="17">
        <v>15.0</v>
      </c>
      <c r="S148" t="n" s="17">
        <v>58.0</v>
      </c>
      <c r="T148" s="23">
        <f>S148/F148</f>
      </c>
      <c r="U148" t="n" s="17">
        <v>82.0</v>
      </c>
      <c r="V148" s="23">
        <f>U148/F148</f>
      </c>
    </row>
    <row r="149">
      <c r="A149" t="s" s="16">
        <v>160</v>
      </c>
      <c r="B149" t="n" s="16">
        <v>399.0</v>
      </c>
      <c r="C149" t="n" s="16">
        <v>233.0</v>
      </c>
      <c r="D149" t="n" s="16">
        <v>0.0</v>
      </c>
      <c r="E149" t="n" s="16">
        <v>0.0</v>
      </c>
      <c r="F149" t="n" s="16">
        <v>233.0</v>
      </c>
      <c r="G149" s="21">
        <f>C149/B149</f>
      </c>
      <c r="H149" t="n" s="17">
        <v>3.0</v>
      </c>
      <c r="I149" t="n" s="17">
        <v>101.0</v>
      </c>
      <c r="J149" s="23">
        <f>I149/F149</f>
      </c>
      <c r="K149" t="n" s="17">
        <v>129.0</v>
      </c>
      <c r="L149" s="23">
        <f>K149/F149</f>
      </c>
      <c r="M149" t="n" s="16">
        <v>5.0</v>
      </c>
      <c r="N149" t="n" s="16">
        <v>122.0</v>
      </c>
      <c r="O149" s="21">
        <f>N149/F149</f>
      </c>
      <c r="P149" t="n" s="16">
        <v>106.0</v>
      </c>
      <c r="Q149" s="21">
        <f>P149/F149</f>
      </c>
      <c r="R149" t="n" s="17">
        <v>6.0</v>
      </c>
      <c r="S149" t="n" s="17">
        <v>91.0</v>
      </c>
      <c r="T149" s="23">
        <f>S149/F149</f>
      </c>
      <c r="U149" t="n" s="17">
        <v>136.0</v>
      </c>
      <c r="V149" s="23">
        <f>U149/F149</f>
      </c>
    </row>
    <row r="150">
      <c r="A150" t="s" s="16">
        <v>161</v>
      </c>
      <c r="B150" t="n" s="16">
        <v>386.0</v>
      </c>
      <c r="C150" t="n" s="16">
        <v>216.0</v>
      </c>
      <c r="D150" t="n" s="16">
        <v>0.0</v>
      </c>
      <c r="E150" t="n" s="16">
        <v>0.0</v>
      </c>
      <c r="F150" t="n" s="16">
        <v>216.0</v>
      </c>
      <c r="G150" s="21">
        <f>C150/B150</f>
      </c>
      <c r="H150" t="n" s="17">
        <v>16.0</v>
      </c>
      <c r="I150" t="n" s="17">
        <v>121.0</v>
      </c>
      <c r="J150" s="23">
        <f>I150/F150</f>
      </c>
      <c r="K150" t="n" s="17">
        <v>79.0</v>
      </c>
      <c r="L150" s="23">
        <f>K150/F150</f>
      </c>
      <c r="M150" t="n" s="16">
        <v>14.0</v>
      </c>
      <c r="N150" t="n" s="16">
        <v>101.0</v>
      </c>
      <c r="O150" s="21">
        <f>N150/F150</f>
      </c>
      <c r="P150" t="n" s="16">
        <v>101.0</v>
      </c>
      <c r="Q150" s="21">
        <f>P150/F150</f>
      </c>
      <c r="R150" t="n" s="17">
        <v>13.0</v>
      </c>
      <c r="S150" t="n" s="17">
        <v>84.0</v>
      </c>
      <c r="T150" s="23">
        <f>S150/F150</f>
      </c>
      <c r="U150" t="n" s="17">
        <v>119.0</v>
      </c>
      <c r="V150" s="23">
        <f>U150/F150</f>
      </c>
    </row>
    <row r="151">
      <c r="A151" t="s" s="16">
        <v>162</v>
      </c>
      <c r="B151" t="n" s="16">
        <v>128.0</v>
      </c>
      <c r="C151" t="n" s="16">
        <v>99.0</v>
      </c>
      <c r="D151" t="n" s="16">
        <v>0.0</v>
      </c>
      <c r="E151" t="n" s="16">
        <v>0.0</v>
      </c>
      <c r="F151" t="n" s="16">
        <v>99.0</v>
      </c>
      <c r="G151" s="21">
        <f>C151/B151</f>
      </c>
      <c r="H151" t="n" s="17">
        <v>1.0</v>
      </c>
      <c r="I151" t="n" s="17">
        <v>30.0</v>
      </c>
      <c r="J151" s="23">
        <f>I151/F151</f>
      </c>
      <c r="K151" t="n" s="17">
        <v>68.0</v>
      </c>
      <c r="L151" s="23">
        <f>K151/F151</f>
      </c>
      <c r="M151" t="n" s="16">
        <v>3.0</v>
      </c>
      <c r="N151" t="n" s="16">
        <v>65.0</v>
      </c>
      <c r="O151" s="21">
        <f>N151/F151</f>
      </c>
      <c r="P151" t="n" s="16">
        <v>31.0</v>
      </c>
      <c r="Q151" s="21">
        <f>P151/F151</f>
      </c>
      <c r="R151" t="n" s="17">
        <v>5.0</v>
      </c>
      <c r="S151" t="n" s="17">
        <v>25.0</v>
      </c>
      <c r="T151" s="23">
        <f>S151/F151</f>
      </c>
      <c r="U151" t="n" s="17">
        <v>69.0</v>
      </c>
      <c r="V151" s="23">
        <f>U151/F151</f>
      </c>
    </row>
    <row r="152">
      <c r="A152" t="s" s="16">
        <v>163</v>
      </c>
      <c r="B152" t="n" s="16">
        <v>3806.0</v>
      </c>
      <c r="C152" t="n" s="16">
        <v>1743.0</v>
      </c>
      <c r="D152" t="n" s="16">
        <v>134.0</v>
      </c>
      <c r="E152" t="n" s="16">
        <v>5.0</v>
      </c>
      <c r="F152" t="n" s="16">
        <v>1738.0</v>
      </c>
      <c r="G152" s="21">
        <f>C152/B152</f>
      </c>
      <c r="H152" t="n" s="17">
        <v>18.0</v>
      </c>
      <c r="I152" t="n" s="17">
        <v>761.0</v>
      </c>
      <c r="J152" s="23">
        <f>I152/F152</f>
      </c>
      <c r="K152" t="n" s="17">
        <v>825.0</v>
      </c>
      <c r="L152" s="23">
        <f>K152/F152</f>
      </c>
      <c r="M152" t="n" s="16">
        <v>40.0</v>
      </c>
      <c r="N152" t="n" s="16">
        <v>805.0</v>
      </c>
      <c r="O152" s="21">
        <f>N152/F152</f>
      </c>
      <c r="P152" t="n" s="16">
        <v>759.0</v>
      </c>
      <c r="Q152" s="21">
        <f>P152/F152</f>
      </c>
      <c r="R152" t="n" s="17">
        <v>76.0</v>
      </c>
      <c r="S152" t="n" s="17">
        <v>696.0</v>
      </c>
      <c r="T152" s="23">
        <f>S152/F152</f>
      </c>
      <c r="U152" t="n" s="17">
        <v>832.0</v>
      </c>
      <c r="V152" s="23">
        <f>U152/F152</f>
      </c>
    </row>
    <row r="153">
      <c r="A153" t="s" s="16">
        <v>164</v>
      </c>
      <c r="B153" t="n" s="16">
        <v>111.0</v>
      </c>
      <c r="C153" t="n" s="16">
        <v>65.0</v>
      </c>
      <c r="D153" t="n" s="16">
        <v>4.0</v>
      </c>
      <c r="E153" t="n" s="16">
        <v>0.0</v>
      </c>
      <c r="F153" t="n" s="16">
        <v>65.0</v>
      </c>
      <c r="G153" s="21">
        <f>C153/B153</f>
      </c>
      <c r="H153" t="n" s="17">
        <v>0.0</v>
      </c>
      <c r="I153" t="n" s="17">
        <v>29.0</v>
      </c>
      <c r="J153" s="23">
        <f>I153/F153</f>
      </c>
      <c r="K153" t="n" s="17">
        <v>32.0</v>
      </c>
      <c r="L153" s="23">
        <f>K153/F153</f>
      </c>
      <c r="M153" t="n" s="16">
        <v>3.0</v>
      </c>
      <c r="N153" t="n" s="16">
        <v>25.0</v>
      </c>
      <c r="O153" s="21">
        <f>N153/F153</f>
      </c>
      <c r="P153" t="n" s="16">
        <v>33.0</v>
      </c>
      <c r="Q153" s="21">
        <f>P153/F153</f>
      </c>
      <c r="R153" t="n" s="17">
        <v>1.0</v>
      </c>
      <c r="S153" t="n" s="17">
        <v>28.0</v>
      </c>
      <c r="T153" s="23">
        <f>S153/F153</f>
      </c>
      <c r="U153" t="n" s="17">
        <v>32.0</v>
      </c>
      <c r="V153" s="23">
        <f>U153/F153</f>
      </c>
    </row>
    <row r="154">
      <c r="A154" t="s" s="16">
        <v>165</v>
      </c>
      <c r="B154" t="n" s="16">
        <v>421.0</v>
      </c>
      <c r="C154" t="n" s="16">
        <v>241.0</v>
      </c>
      <c r="D154" t="n" s="16">
        <v>13.0</v>
      </c>
      <c r="E154" t="n" s="16">
        <v>0.0</v>
      </c>
      <c r="F154" t="n" s="16">
        <v>241.0</v>
      </c>
      <c r="G154" s="21">
        <f>C154/B154</f>
      </c>
      <c r="H154" t="n" s="17">
        <v>1.0</v>
      </c>
      <c r="I154" t="n" s="17">
        <v>80.0</v>
      </c>
      <c r="J154" s="23">
        <f>I154/F154</f>
      </c>
      <c r="K154" t="n" s="17">
        <v>147.0</v>
      </c>
      <c r="L154" s="23">
        <f>K154/F154</f>
      </c>
      <c r="M154" t="n" s="16">
        <v>4.0</v>
      </c>
      <c r="N154" t="n" s="16">
        <v>139.0</v>
      </c>
      <c r="O154" s="21">
        <f>N154/F154</f>
      </c>
      <c r="P154" t="n" s="16">
        <v>85.0</v>
      </c>
      <c r="Q154" s="21">
        <f>P154/F154</f>
      </c>
      <c r="R154" t="n" s="17">
        <v>8.0</v>
      </c>
      <c r="S154" t="n" s="17">
        <v>68.0</v>
      </c>
      <c r="T154" s="23">
        <f>S154/F154</f>
      </c>
      <c r="U154" t="n" s="17">
        <v>152.0</v>
      </c>
      <c r="V154" s="23">
        <f>U154/F154</f>
      </c>
    </row>
    <row r="155">
      <c r="A155" t="s" s="16">
        <v>166</v>
      </c>
      <c r="B155" t="n" s="16">
        <v>160.0</v>
      </c>
      <c r="C155" t="n" s="16">
        <v>101.0</v>
      </c>
      <c r="D155" t="n" s="16">
        <v>4.0</v>
      </c>
      <c r="E155" t="n" s="16">
        <v>0.0</v>
      </c>
      <c r="F155" t="n" s="16">
        <v>101.0</v>
      </c>
      <c r="G155" s="21">
        <f>C155/B155</f>
      </c>
      <c r="H155" t="n" s="17">
        <v>0.0</v>
      </c>
      <c r="I155" t="n" s="17">
        <v>40.0</v>
      </c>
      <c r="J155" s="23">
        <f>I155/F155</f>
      </c>
      <c r="K155" t="n" s="17">
        <v>57.0</v>
      </c>
      <c r="L155" s="23">
        <f>K155/F155</f>
      </c>
      <c r="M155" t="n" s="16">
        <v>3.0</v>
      </c>
      <c r="N155" t="n" s="16">
        <v>53.0</v>
      </c>
      <c r="O155" s="21">
        <f>N155/F155</f>
      </c>
      <c r="P155" t="n" s="16">
        <v>41.0</v>
      </c>
      <c r="Q155" s="21">
        <f>P155/F155</f>
      </c>
      <c r="R155" t="n" s="17">
        <v>2.0</v>
      </c>
      <c r="S155" t="n" s="17">
        <v>56.0</v>
      </c>
      <c r="T155" s="23">
        <f>S155/F155</f>
      </c>
      <c r="U155" t="n" s="17">
        <v>39.0</v>
      </c>
      <c r="V155" s="23">
        <f>U155/F155</f>
      </c>
    </row>
    <row r="156">
      <c r="A156" t="s" s="16">
        <v>167</v>
      </c>
      <c r="B156" t="n" s="16">
        <v>334.0</v>
      </c>
      <c r="C156" t="n" s="16">
        <v>169.0</v>
      </c>
      <c r="D156" t="n" s="16">
        <v>0.0</v>
      </c>
      <c r="E156" t="n" s="16">
        <v>0.0</v>
      </c>
      <c r="F156" t="n" s="16">
        <v>169.0</v>
      </c>
      <c r="G156" s="21">
        <f>C156/B156</f>
      </c>
      <c r="H156" t="n" s="17">
        <v>6.0</v>
      </c>
      <c r="I156" t="n" s="17">
        <v>70.0</v>
      </c>
      <c r="J156" s="23">
        <f>I156/F156</f>
      </c>
      <c r="K156" t="n" s="17">
        <v>93.0</v>
      </c>
      <c r="L156" s="23">
        <f>K156/F156</f>
      </c>
      <c r="M156" t="n" s="16">
        <v>8.0</v>
      </c>
      <c r="N156" t="n" s="16">
        <v>80.0</v>
      </c>
      <c r="O156" s="21">
        <f>N156/F156</f>
      </c>
      <c r="P156" t="n" s="16">
        <v>81.0</v>
      </c>
      <c r="Q156" s="21">
        <f>P156/F156</f>
      </c>
      <c r="R156" t="n" s="17">
        <v>8.0</v>
      </c>
      <c r="S156" t="n" s="17">
        <v>67.0</v>
      </c>
      <c r="T156" s="23">
        <f>S156/F156</f>
      </c>
      <c r="U156" t="n" s="17">
        <v>94.0</v>
      </c>
      <c r="V156" s="23">
        <f>U156/F156</f>
      </c>
    </row>
    <row r="157">
      <c r="A157" t="s" s="16">
        <v>168</v>
      </c>
      <c r="B157" t="n" s="16">
        <v>583.0</v>
      </c>
      <c r="C157" t="n" s="16">
        <v>353.0</v>
      </c>
      <c r="D157" t="n" s="16">
        <v>29.0</v>
      </c>
      <c r="E157" t="n" s="16">
        <v>0.0</v>
      </c>
      <c r="F157" t="n" s="16">
        <v>353.0</v>
      </c>
      <c r="G157" s="21">
        <f>C157/B157</f>
      </c>
      <c r="H157" t="n" s="17">
        <v>2.0</v>
      </c>
      <c r="I157" t="n" s="17">
        <v>156.0</v>
      </c>
      <c r="J157" s="23">
        <f>I157/F157</f>
      </c>
      <c r="K157" t="n" s="17">
        <v>166.0</v>
      </c>
      <c r="L157" s="23">
        <f>K157/F157</f>
      </c>
      <c r="M157" t="n" s="16">
        <v>4.0</v>
      </c>
      <c r="N157" t="n" s="16">
        <v>155.0</v>
      </c>
      <c r="O157" s="21">
        <f>N157/F157</f>
      </c>
      <c r="P157" t="n" s="16">
        <v>165.0</v>
      </c>
      <c r="Q157" s="21">
        <f>P157/F157</f>
      </c>
      <c r="R157" t="n" s="17">
        <v>12.0</v>
      </c>
      <c r="S157" t="n" s="17">
        <v>150.0</v>
      </c>
      <c r="T157" s="23">
        <f>S157/F157</f>
      </c>
      <c r="U157" t="n" s="17">
        <v>162.0</v>
      </c>
      <c r="V157" s="23">
        <f>U157/F157</f>
      </c>
    </row>
    <row r="158">
      <c r="A158" t="s" s="16">
        <v>169</v>
      </c>
      <c r="B158" t="n" s="16">
        <v>154.0</v>
      </c>
      <c r="C158" t="n" s="16">
        <v>93.0</v>
      </c>
      <c r="D158" t="n" s="16">
        <v>0.0</v>
      </c>
      <c r="E158" t="n" s="16">
        <v>0.0</v>
      </c>
      <c r="F158" t="n" s="16">
        <v>93.0</v>
      </c>
      <c r="G158" s="21">
        <f>C158/B158</f>
      </c>
      <c r="H158" t="n" s="17">
        <v>3.0</v>
      </c>
      <c r="I158" t="n" s="17">
        <v>21.0</v>
      </c>
      <c r="J158" s="23">
        <f>I158/F158</f>
      </c>
      <c r="K158" t="n" s="17">
        <v>69.0</v>
      </c>
      <c r="L158" s="23">
        <f>K158/F158</f>
      </c>
      <c r="M158" t="n" s="16">
        <v>4.0</v>
      </c>
      <c r="N158" t="n" s="16">
        <v>54.0</v>
      </c>
      <c r="O158" s="21">
        <f>N158/F158</f>
      </c>
      <c r="P158" t="n" s="16">
        <v>35.0</v>
      </c>
      <c r="Q158" s="21">
        <f>P158/F158</f>
      </c>
      <c r="R158" t="n" s="17">
        <v>4.0</v>
      </c>
      <c r="S158" t="n" s="17">
        <v>20.0</v>
      </c>
      <c r="T158" s="23">
        <f>S158/F158</f>
      </c>
      <c r="U158" t="n" s="17">
        <v>69.0</v>
      </c>
      <c r="V158" s="23">
        <f>U158/F158</f>
      </c>
    </row>
    <row r="159">
      <c r="A159" t="s" s="16">
        <v>170</v>
      </c>
      <c r="B159" t="n" s="16">
        <v>561.0</v>
      </c>
      <c r="C159" t="n" s="16">
        <v>256.0</v>
      </c>
      <c r="D159" t="n" s="16">
        <v>10.0</v>
      </c>
      <c r="E159" t="n" s="16">
        <v>0.0</v>
      </c>
      <c r="F159" t="n" s="16">
        <v>256.0</v>
      </c>
      <c r="G159" s="21">
        <f>C159/B159</f>
      </c>
      <c r="H159" t="n" s="17">
        <v>6.0</v>
      </c>
      <c r="I159" t="n" s="17">
        <v>110.0</v>
      </c>
      <c r="J159" s="23">
        <f>I159/F159</f>
      </c>
      <c r="K159" t="n" s="17">
        <v>130.0</v>
      </c>
      <c r="L159" s="23">
        <f>K159/F159</f>
      </c>
      <c r="M159" t="n" s="16">
        <v>8.0</v>
      </c>
      <c r="N159" t="n" s="16">
        <v>113.0</v>
      </c>
      <c r="O159" s="21">
        <f>N159/F159</f>
      </c>
      <c r="P159" t="n" s="16">
        <v>125.0</v>
      </c>
      <c r="Q159" s="21">
        <f>P159/F159</f>
      </c>
      <c r="R159" t="n" s="17">
        <v>9.0</v>
      </c>
      <c r="S159" t="n" s="17">
        <v>106.0</v>
      </c>
      <c r="T159" s="23">
        <f>S159/F159</f>
      </c>
      <c r="U159" t="n" s="17">
        <v>131.0</v>
      </c>
      <c r="V159" s="23">
        <f>U159/F159</f>
      </c>
    </row>
    <row r="160">
      <c r="A160" t="s" s="16">
        <v>171</v>
      </c>
      <c r="B160" t="n" s="16">
        <v>394.0</v>
      </c>
      <c r="C160" t="n" s="16">
        <v>243.0</v>
      </c>
      <c r="D160" t="n" s="16">
        <v>8.0</v>
      </c>
      <c r="E160" t="n" s="16">
        <v>1.0</v>
      </c>
      <c r="F160" t="n" s="16">
        <v>242.0</v>
      </c>
      <c r="G160" s="21">
        <f>C160/B160</f>
      </c>
      <c r="H160" t="n" s="17">
        <v>2.0</v>
      </c>
      <c r="I160" t="n" s="17">
        <v>89.0</v>
      </c>
      <c r="J160" s="23">
        <f>I160/F160</f>
      </c>
      <c r="K160" t="n" s="17">
        <v>143.0</v>
      </c>
      <c r="L160" s="23">
        <f>K160/F160</f>
      </c>
      <c r="M160" t="n" s="16">
        <v>5.0</v>
      </c>
      <c r="N160" t="n" s="16">
        <v>138.0</v>
      </c>
      <c r="O160" s="21">
        <f>N160/F160</f>
      </c>
      <c r="P160" t="n" s="16">
        <v>91.0</v>
      </c>
      <c r="Q160" s="21">
        <f>P160/F160</f>
      </c>
      <c r="R160" t="n" s="17">
        <v>11.0</v>
      </c>
      <c r="S160" t="n" s="17">
        <v>82.0</v>
      </c>
      <c r="T160" s="23">
        <f>S160/F160</f>
      </c>
      <c r="U160" t="n" s="17">
        <v>141.0</v>
      </c>
      <c r="V160" s="23">
        <f>U160/F160</f>
      </c>
    </row>
    <row r="161">
      <c r="A161" t="s" s="16">
        <v>172</v>
      </c>
      <c r="B161" t="n" s="16">
        <v>184.0</v>
      </c>
      <c r="C161" t="n" s="16">
        <v>137.0</v>
      </c>
      <c r="D161" t="n" s="16">
        <v>0.0</v>
      </c>
      <c r="E161" t="n" s="16">
        <v>0.0</v>
      </c>
      <c r="F161" t="n" s="16">
        <v>137.0</v>
      </c>
      <c r="G161" s="21">
        <f>C161/B161</f>
      </c>
      <c r="H161" t="n" s="17">
        <v>5.0</v>
      </c>
      <c r="I161" t="n" s="17">
        <v>71.0</v>
      </c>
      <c r="J161" s="23">
        <f>I161/F161</f>
      </c>
      <c r="K161" t="n" s="17">
        <v>61.0</v>
      </c>
      <c r="L161" s="23">
        <f>K161/F161</f>
      </c>
      <c r="M161" t="n" s="16">
        <v>8.0</v>
      </c>
      <c r="N161" t="n" s="16">
        <v>75.0</v>
      </c>
      <c r="O161" s="21">
        <f>N161/F161</f>
      </c>
      <c r="P161" t="n" s="16">
        <v>54.0</v>
      </c>
      <c r="Q161" s="21">
        <f>P161/F161</f>
      </c>
      <c r="R161" t="n" s="17">
        <v>5.0</v>
      </c>
      <c r="S161" t="n" s="17">
        <v>61.0</v>
      </c>
      <c r="T161" s="23">
        <f>S161/F161</f>
      </c>
      <c r="U161" t="n" s="17">
        <v>71.0</v>
      </c>
      <c r="V161" s="23">
        <f>U161/F161</f>
      </c>
    </row>
    <row r="162">
      <c r="A162" t="s" s="16">
        <v>173</v>
      </c>
      <c r="B162" t="n" s="16">
        <v>2259.0</v>
      </c>
      <c r="C162" t="n" s="16">
        <v>1017.0</v>
      </c>
      <c r="D162" t="n" s="16">
        <v>73.0</v>
      </c>
      <c r="E162" t="n" s="16">
        <v>0.0</v>
      </c>
      <c r="F162" t="n" s="16">
        <v>1017.0</v>
      </c>
      <c r="G162" s="21">
        <f>C162/B162</f>
      </c>
      <c r="H162" t="n" s="17">
        <v>10.0</v>
      </c>
      <c r="I162" t="n" s="17">
        <v>420.0</v>
      </c>
      <c r="J162" s="23">
        <f>I162/F162</f>
      </c>
      <c r="K162" t="n" s="17">
        <v>514.0</v>
      </c>
      <c r="L162" s="23">
        <f>K162/F162</f>
      </c>
      <c r="M162" t="n" s="16">
        <v>17.0</v>
      </c>
      <c r="N162" t="n" s="16">
        <v>472.0</v>
      </c>
      <c r="O162" s="21">
        <f>N162/F162</f>
      </c>
      <c r="P162" t="n" s="16">
        <v>455.0</v>
      </c>
      <c r="Q162" s="21">
        <f>P162/F162</f>
      </c>
      <c r="R162" t="n" s="17">
        <v>35.0</v>
      </c>
      <c r="S162" t="n" s="17">
        <v>394.0</v>
      </c>
      <c r="T162" s="23">
        <f>S162/F162</f>
      </c>
      <c r="U162" t="n" s="17">
        <v>515.0</v>
      </c>
      <c r="V162" s="23">
        <f>U162/F162</f>
      </c>
    </row>
    <row r="163">
      <c r="A163" t="s" s="16">
        <v>174</v>
      </c>
      <c r="B163" t="n" s="16">
        <v>342.0</v>
      </c>
      <c r="C163" t="n" s="16">
        <v>188.0</v>
      </c>
      <c r="D163" t="n" s="16">
        <v>5.0</v>
      </c>
      <c r="E163" t="n" s="16">
        <v>0.0</v>
      </c>
      <c r="F163" t="n" s="16">
        <v>188.0</v>
      </c>
      <c r="G163" s="21">
        <f>C163/B163</f>
      </c>
      <c r="H163" t="n" s="17">
        <v>0.0</v>
      </c>
      <c r="I163" t="n" s="17">
        <v>81.0</v>
      </c>
      <c r="J163" s="23">
        <f>I163/F163</f>
      </c>
      <c r="K163" t="n" s="17">
        <v>102.0</v>
      </c>
      <c r="L163" s="23">
        <f>K163/F163</f>
      </c>
      <c r="M163" t="n" s="16">
        <v>5.0</v>
      </c>
      <c r="N163" t="n" s="16">
        <v>95.0</v>
      </c>
      <c r="O163" s="21">
        <f>N163/F163</f>
      </c>
      <c r="P163" t="n" s="16">
        <v>83.0</v>
      </c>
      <c r="Q163" s="21">
        <f>P163/F163</f>
      </c>
      <c r="R163" t="n" s="17">
        <v>6.0</v>
      </c>
      <c r="S163" t="n" s="17">
        <v>76.0</v>
      </c>
      <c r="T163" s="23">
        <f>S163/F163</f>
      </c>
      <c r="U163" t="n" s="17">
        <v>101.0</v>
      </c>
      <c r="V163" s="23">
        <f>U163/F163</f>
      </c>
    </row>
    <row r="164">
      <c r="A164" t="s" s="16">
        <v>175</v>
      </c>
      <c r="B164" t="n" s="16">
        <v>68.0</v>
      </c>
      <c r="C164" t="n" s="16">
        <v>40.0</v>
      </c>
      <c r="D164" t="n" s="16">
        <v>0.0</v>
      </c>
      <c r="E164" t="n" s="16">
        <v>1.0</v>
      </c>
      <c r="F164" t="n" s="16">
        <v>39.0</v>
      </c>
      <c r="G164" s="21">
        <f>C164/B164</f>
      </c>
      <c r="H164" t="n" s="17">
        <v>0.0</v>
      </c>
      <c r="I164" t="n" s="17">
        <v>11.0</v>
      </c>
      <c r="J164" s="23">
        <f>I164/F164</f>
      </c>
      <c r="K164" t="n" s="17">
        <v>28.0</v>
      </c>
      <c r="L164" s="23">
        <f>K164/F164</f>
      </c>
      <c r="M164" t="n" s="16">
        <v>1.0</v>
      </c>
      <c r="N164" t="n" s="16">
        <v>27.0</v>
      </c>
      <c r="O164" s="21">
        <f>N164/F164</f>
      </c>
      <c r="P164" t="n" s="16">
        <v>11.0</v>
      </c>
      <c r="Q164" s="21">
        <f>P164/F164</f>
      </c>
      <c r="R164" t="n" s="17">
        <v>1.0</v>
      </c>
      <c r="S164" t="n" s="17">
        <v>11.0</v>
      </c>
      <c r="T164" s="23">
        <f>S164/F164</f>
      </c>
      <c r="U164" t="n" s="17">
        <v>27.0</v>
      </c>
      <c r="V164" s="23">
        <f>U164/F164</f>
      </c>
    </row>
    <row r="165">
      <c r="A165" t="s" s="16">
        <v>176</v>
      </c>
      <c r="B165" t="n" s="16">
        <v>96.0</v>
      </c>
      <c r="C165" t="n" s="16">
        <v>52.0</v>
      </c>
      <c r="D165" t="n" s="16">
        <v>4.0</v>
      </c>
      <c r="E165" t="n" s="16">
        <v>0.0</v>
      </c>
      <c r="F165" t="n" s="16">
        <v>52.0</v>
      </c>
      <c r="G165" s="21">
        <f>C165/B165</f>
      </c>
      <c r="H165" t="n" s="17">
        <v>0.0</v>
      </c>
      <c r="I165" t="n" s="17">
        <v>17.0</v>
      </c>
      <c r="J165" s="23">
        <f>I165/F165</f>
      </c>
      <c r="K165" t="n" s="17">
        <v>31.0</v>
      </c>
      <c r="L165" s="23">
        <f>K165/F165</f>
      </c>
      <c r="M165" t="n" s="16">
        <v>1.0</v>
      </c>
      <c r="N165" t="n" s="16">
        <v>27.0</v>
      </c>
      <c r="O165" s="21">
        <f>N165/F165</f>
      </c>
      <c r="P165" t="n" s="16">
        <v>20.0</v>
      </c>
      <c r="Q165" s="21">
        <f>P165/F165</f>
      </c>
      <c r="R165" t="n" s="17">
        <v>4.0</v>
      </c>
      <c r="S165" t="n" s="17">
        <v>15.0</v>
      </c>
      <c r="T165" s="23">
        <f>S165/F165</f>
      </c>
      <c r="U165" t="n" s="17">
        <v>29.0</v>
      </c>
      <c r="V165" s="23">
        <f>U165/F165</f>
      </c>
    </row>
    <row r="166">
      <c r="A166" t="s" s="16">
        <v>177</v>
      </c>
      <c r="B166" t="n" s="16">
        <v>398.0</v>
      </c>
      <c r="C166" t="n" s="16">
        <v>204.0</v>
      </c>
      <c r="D166" t="n" s="16">
        <v>5.0</v>
      </c>
      <c r="E166" t="n" s="16">
        <v>0.0</v>
      </c>
      <c r="F166" t="n" s="16">
        <v>204.0</v>
      </c>
      <c r="G166" s="21">
        <f>C166/B166</f>
      </c>
      <c r="H166" t="n" s="17">
        <v>4.0</v>
      </c>
      <c r="I166" t="n" s="17">
        <v>95.0</v>
      </c>
      <c r="J166" s="23">
        <f>I166/F166</f>
      </c>
      <c r="K166" t="n" s="17">
        <v>100.0</v>
      </c>
      <c r="L166" s="23">
        <f>K166/F166</f>
      </c>
      <c r="M166" t="n" s="16">
        <v>7.0</v>
      </c>
      <c r="N166" t="n" s="16">
        <v>98.0</v>
      </c>
      <c r="O166" s="21">
        <f>N166/F166</f>
      </c>
      <c r="P166" t="n" s="16">
        <v>94.0</v>
      </c>
      <c r="Q166" s="21">
        <f>P166/F166</f>
      </c>
      <c r="R166" t="n" s="17">
        <v>6.0</v>
      </c>
      <c r="S166" t="n" s="17">
        <v>93.0</v>
      </c>
      <c r="T166" s="23">
        <f>S166/F166</f>
      </c>
      <c r="U166" t="n" s="17">
        <v>100.0</v>
      </c>
      <c r="V166" s="23">
        <f>U166/F166</f>
      </c>
    </row>
    <row r="167">
      <c r="A167" t="s" s="16">
        <v>178</v>
      </c>
      <c r="B167" t="n" s="16">
        <v>14998.0</v>
      </c>
      <c r="C167" t="n" s="16">
        <v>7155.0</v>
      </c>
      <c r="D167" t="n" s="16">
        <v>380.0</v>
      </c>
      <c r="E167" t="n" s="16">
        <v>7.0</v>
      </c>
      <c r="F167" t="n" s="16">
        <v>7148.0</v>
      </c>
      <c r="G167" s="21">
        <f>C167/B167</f>
      </c>
      <c r="H167" t="n" s="17">
        <v>104.0</v>
      </c>
      <c r="I167" t="n" s="17">
        <v>3839.0</v>
      </c>
      <c r="J167" s="23">
        <f>I167/F167</f>
      </c>
      <c r="K167" t="n" s="17">
        <v>2825.0</v>
      </c>
      <c r="L167" s="23">
        <f>K167/F167</f>
      </c>
      <c r="M167" t="n" s="16">
        <v>154.0</v>
      </c>
      <c r="N167" t="n" s="16">
        <v>2922.0</v>
      </c>
      <c r="O167" s="21">
        <f>N167/F167</f>
      </c>
      <c r="P167" t="n" s="16">
        <v>3692.0</v>
      </c>
      <c r="Q167" s="21">
        <f>P167/F167</f>
      </c>
      <c r="R167" t="n" s="17">
        <v>226.0</v>
      </c>
      <c r="S167" t="n" s="17">
        <v>3643.0</v>
      </c>
      <c r="T167" s="23">
        <f>S167/F167</f>
      </c>
      <c r="U167" t="n" s="17">
        <v>2899.0</v>
      </c>
      <c r="V167" s="23">
        <f>U167/F167</f>
      </c>
    </row>
    <row r="168">
      <c r="A168" t="s" s="16">
        <v>179</v>
      </c>
      <c r="B168" t="n" s="16">
        <v>2356.0</v>
      </c>
      <c r="C168" t="n" s="16">
        <v>1225.0</v>
      </c>
      <c r="D168" t="n" s="16">
        <v>39.0</v>
      </c>
      <c r="E168" t="n" s="16">
        <v>3.0</v>
      </c>
      <c r="F168" t="n" s="16">
        <v>1222.0</v>
      </c>
      <c r="G168" s="21">
        <f>C168/B168</f>
      </c>
      <c r="H168" t="n" s="17">
        <v>6.0</v>
      </c>
      <c r="I168" t="n" s="17">
        <v>598.0</v>
      </c>
      <c r="J168" s="23">
        <f>I168/F168</f>
      </c>
      <c r="K168" t="n" s="17">
        <v>579.0</v>
      </c>
      <c r="L168" s="23">
        <f>K168/F168</f>
      </c>
      <c r="M168" t="n" s="16">
        <v>22.0</v>
      </c>
      <c r="N168" t="n" s="16">
        <v>592.0</v>
      </c>
      <c r="O168" s="21">
        <f>N168/F168</f>
      </c>
      <c r="P168" t="n" s="16">
        <v>569.0</v>
      </c>
      <c r="Q168" s="21">
        <f>P168/F168</f>
      </c>
      <c r="R168" t="n" s="17">
        <v>46.0</v>
      </c>
      <c r="S168" t="n" s="17">
        <v>548.0</v>
      </c>
      <c r="T168" s="23">
        <f>S168/F168</f>
      </c>
      <c r="U168" t="n" s="17">
        <v>589.0</v>
      </c>
      <c r="V168" s="23">
        <f>U168/F168</f>
      </c>
    </row>
    <row r="169">
      <c r="A169" t="s" s="18">
        <v>106</v>
      </c>
      <c r="B169" s="19">
        <f>SUM(B96:B168)</f>
      </c>
      <c r="C169" s="19">
        <f>SUM(C96:C168)</f>
      </c>
      <c r="D169" s="19">
        <f>SUM(D96:D168)</f>
      </c>
      <c r="E169" s="19">
        <f>SUM(E96:E168)</f>
      </c>
      <c r="F169" s="19">
        <f>SUM(F96:F168)</f>
      </c>
      <c r="G169" s="22">
        <f>C169/B169</f>
      </c>
      <c r="H169" s="19">
        <f>SUM(H96:H168)</f>
      </c>
      <c r="I169" s="19">
        <f>SUM(I96:I168)</f>
      </c>
      <c r="J169" s="22">
        <f>I169/F169</f>
      </c>
      <c r="K169" s="19">
        <f>SUM(K96:K168)</f>
      </c>
      <c r="L169" s="22">
        <f>K169/F169</f>
      </c>
      <c r="M169" s="19">
        <f>SUM(M96:M168)</f>
      </c>
      <c r="N169" s="19">
        <f>SUM(N96:N168)</f>
      </c>
      <c r="O169" s="22">
        <f>N169/F169</f>
      </c>
      <c r="P169" s="19">
        <f>SUM(P96:P168)</f>
      </c>
      <c r="Q169" s="22">
        <f>P169/F169</f>
      </c>
      <c r="R169" s="19">
        <f>SUM(R96:R168)</f>
      </c>
      <c r="S169" s="19">
        <f>SUM(S96:S168)</f>
      </c>
      <c r="T169" s="22">
        <f>S169/F169</f>
      </c>
      <c r="U169" s="19">
        <f>SUM(U96:U168)</f>
      </c>
      <c r="V169" s="22">
        <f>U169/F169</f>
      </c>
    </row>
    <row r="170"/>
    <row r="171">
      <c r="A171" t="s" s="15">
        <v>180</v>
      </c>
    </row>
    <row r="172">
      <c r="A172" t="s" s="16">
        <v>181</v>
      </c>
      <c r="B172" t="n" s="16">
        <v>2942.0</v>
      </c>
      <c r="C172" t="n" s="16">
        <v>1615.0</v>
      </c>
      <c r="D172" t="n" s="16">
        <v>117.0</v>
      </c>
      <c r="E172" t="n" s="16">
        <v>3.0</v>
      </c>
      <c r="F172" t="n" s="16">
        <v>1612.0</v>
      </c>
      <c r="G172" s="21">
        <f>C172/B172</f>
      </c>
      <c r="H172" t="n" s="17">
        <v>33.0</v>
      </c>
      <c r="I172" t="n" s="17">
        <v>747.0</v>
      </c>
      <c r="J172" s="23">
        <f>I172/F172</f>
      </c>
      <c r="K172" t="n" s="17">
        <v>715.0</v>
      </c>
      <c r="L172" s="23">
        <f>K172/F172</f>
      </c>
      <c r="M172" t="n" s="16">
        <v>42.0</v>
      </c>
      <c r="N172" t="n" s="16">
        <v>712.0</v>
      </c>
      <c r="O172" s="21">
        <f>N172/F172</f>
      </c>
      <c r="P172" t="n" s="16">
        <v>741.0</v>
      </c>
      <c r="Q172" s="21">
        <f>P172/F172</f>
      </c>
      <c r="R172" t="n" s="17">
        <v>63.0</v>
      </c>
      <c r="S172" t="n" s="17">
        <v>684.0</v>
      </c>
      <c r="T172" s="23">
        <f>S172/F172</f>
      </c>
      <c r="U172" t="n" s="17">
        <v>748.0</v>
      </c>
      <c r="V172" s="23">
        <f>U172/F172</f>
      </c>
    </row>
    <row r="173">
      <c r="A173" t="s" s="16">
        <v>182</v>
      </c>
      <c r="B173" t="n" s="16">
        <v>5523.0</v>
      </c>
      <c r="C173" t="n" s="16">
        <v>3406.0</v>
      </c>
      <c r="D173" t="n" s="16">
        <v>167.0</v>
      </c>
      <c r="E173" t="n" s="16">
        <v>7.0</v>
      </c>
      <c r="F173" t="n" s="16">
        <v>3399.0</v>
      </c>
      <c r="G173" s="21">
        <f>C173/B173</f>
      </c>
      <c r="H173" t="n" s="17">
        <v>40.0</v>
      </c>
      <c r="I173" t="n" s="17">
        <v>1572.0</v>
      </c>
      <c r="J173" s="23">
        <f>I173/F173</f>
      </c>
      <c r="K173" t="n" s="17">
        <v>1620.0</v>
      </c>
      <c r="L173" s="23">
        <f>K173/F173</f>
      </c>
      <c r="M173" t="n" s="16">
        <v>83.0</v>
      </c>
      <c r="N173" t="n" s="16">
        <v>1554.0</v>
      </c>
      <c r="O173" s="21">
        <f>N173/F173</f>
      </c>
      <c r="P173" t="n" s="16">
        <v>1595.0</v>
      </c>
      <c r="Q173" s="21">
        <f>P173/F173</f>
      </c>
      <c r="R173" t="n" s="17">
        <v>103.0</v>
      </c>
      <c r="S173" t="n" s="17">
        <v>1447.0</v>
      </c>
      <c r="T173" s="23">
        <f>S173/F173</f>
      </c>
      <c r="U173" t="n" s="17">
        <v>1682.0</v>
      </c>
      <c r="V173" s="23">
        <f>U173/F173</f>
      </c>
    </row>
    <row r="174">
      <c r="A174" t="s" s="16">
        <v>183</v>
      </c>
      <c r="B174" t="n" s="16">
        <v>955.0</v>
      </c>
      <c r="C174" t="n" s="16">
        <v>685.0</v>
      </c>
      <c r="D174" t="n" s="16">
        <v>34.0</v>
      </c>
      <c r="E174" t="n" s="16">
        <v>2.0</v>
      </c>
      <c r="F174" t="n" s="16">
        <v>683.0</v>
      </c>
      <c r="G174" s="21">
        <f>C174/B174</f>
      </c>
      <c r="H174" t="n" s="17">
        <v>4.0</v>
      </c>
      <c r="I174" t="n" s="17">
        <v>244.0</v>
      </c>
      <c r="J174" s="23">
        <f>I174/F174</f>
      </c>
      <c r="K174" t="n" s="17">
        <v>401.0</v>
      </c>
      <c r="L174" s="23">
        <f>K174/F174</f>
      </c>
      <c r="M174" t="n" s="16">
        <v>10.0</v>
      </c>
      <c r="N174" t="n" s="16">
        <v>357.0</v>
      </c>
      <c r="O174" s="21">
        <f>N174/F174</f>
      </c>
      <c r="P174" t="n" s="16">
        <v>282.0</v>
      </c>
      <c r="Q174" s="21">
        <f>P174/F174</f>
      </c>
      <c r="R174" t="n" s="17">
        <v>25.0</v>
      </c>
      <c r="S174" t="n" s="17">
        <v>232.0</v>
      </c>
      <c r="T174" s="23">
        <f>S174/F174</f>
      </c>
      <c r="U174" t="n" s="17">
        <v>392.0</v>
      </c>
      <c r="V174" s="23">
        <f>U174/F174</f>
      </c>
    </row>
    <row r="175">
      <c r="A175" t="s" s="16">
        <v>184</v>
      </c>
      <c r="B175" t="n" s="16">
        <v>67952.0</v>
      </c>
      <c r="C175" t="n" s="16">
        <v>35674.0</v>
      </c>
      <c r="D175" t="n" s="16">
        <v>1468.0</v>
      </c>
      <c r="E175" t="n" s="16">
        <v>23.0</v>
      </c>
      <c r="F175" t="n" s="16">
        <v>35651.0</v>
      </c>
      <c r="G175" s="21">
        <f>C175/B175</f>
      </c>
      <c r="H175" t="n" s="17">
        <v>437.0</v>
      </c>
      <c r="I175" t="n" s="17">
        <v>22443.0</v>
      </c>
      <c r="J175" s="23">
        <f>I175/F175</f>
      </c>
      <c r="K175" t="n" s="17">
        <v>11303.0</v>
      </c>
      <c r="L175" s="23">
        <f>K175/F175</f>
      </c>
      <c r="M175" t="n" s="16">
        <v>687.0</v>
      </c>
      <c r="N175" t="n" s="16">
        <v>12210.0</v>
      </c>
      <c r="O175" s="21">
        <f>N175/F175</f>
      </c>
      <c r="P175" t="n" s="16">
        <v>21286.0</v>
      </c>
      <c r="Q175" s="21">
        <f>P175/F175</f>
      </c>
      <c r="R175" t="n" s="17">
        <v>962.0</v>
      </c>
      <c r="S175" t="n" s="17">
        <v>21379.0</v>
      </c>
      <c r="T175" s="23">
        <f>S175/F175</f>
      </c>
      <c r="U175" t="n" s="17">
        <v>11842.0</v>
      </c>
      <c r="V175" s="23">
        <f>U175/F175</f>
      </c>
    </row>
    <row r="176">
      <c r="A176" t="s" s="16">
        <v>185</v>
      </c>
      <c r="B176" t="n" s="16">
        <v>5381.0</v>
      </c>
      <c r="C176" t="n" s="16">
        <v>2986.0</v>
      </c>
      <c r="D176" t="n" s="16">
        <v>153.0</v>
      </c>
      <c r="E176" t="n" s="16">
        <v>3.0</v>
      </c>
      <c r="F176" t="n" s="16">
        <v>2983.0</v>
      </c>
      <c r="G176" s="21">
        <f>C176/B176</f>
      </c>
      <c r="H176" t="n" s="17">
        <v>55.0</v>
      </c>
      <c r="I176" t="n" s="17">
        <v>1283.0</v>
      </c>
      <c r="J176" s="23">
        <f>I176/F176</f>
      </c>
      <c r="K176" t="n" s="17">
        <v>1492.0</v>
      </c>
      <c r="L176" s="23">
        <f>K176/F176</f>
      </c>
      <c r="M176" t="n" s="16">
        <v>59.0</v>
      </c>
      <c r="N176" t="n" s="16">
        <v>1481.0</v>
      </c>
      <c r="O176" s="21">
        <f>N176/F176</f>
      </c>
      <c r="P176" t="n" s="16">
        <v>1290.0</v>
      </c>
      <c r="Q176" s="21">
        <f>P176/F176</f>
      </c>
      <c r="R176" t="n" s="17">
        <v>107.0</v>
      </c>
      <c r="S176" t="n" s="17">
        <v>1198.0</v>
      </c>
      <c r="T176" s="23">
        <f>S176/F176</f>
      </c>
      <c r="U176" t="n" s="17">
        <v>1525.0</v>
      </c>
      <c r="V176" s="23">
        <f>U176/F176</f>
      </c>
    </row>
    <row r="177">
      <c r="A177" t="s" s="16">
        <v>186</v>
      </c>
      <c r="B177" t="n" s="16">
        <v>2442.0</v>
      </c>
      <c r="C177" t="n" s="16">
        <v>1312.0</v>
      </c>
      <c r="D177" t="n" s="16">
        <v>81.0</v>
      </c>
      <c r="E177" t="n" s="16">
        <v>2.0</v>
      </c>
      <c r="F177" t="n" s="16">
        <v>1310.0</v>
      </c>
      <c r="G177" s="21">
        <f>C177/B177</f>
      </c>
      <c r="H177" t="n" s="17">
        <v>19.0</v>
      </c>
      <c r="I177" t="n" s="17">
        <v>640.0</v>
      </c>
      <c r="J177" s="23">
        <f>I177/F177</f>
      </c>
      <c r="K177" t="n" s="17">
        <v>570.0</v>
      </c>
      <c r="L177" s="23">
        <f>K177/F177</f>
      </c>
      <c r="M177" t="n" s="16">
        <v>29.0</v>
      </c>
      <c r="N177" t="n" s="16">
        <v>578.0</v>
      </c>
      <c r="O177" s="21">
        <f>N177/F177</f>
      </c>
      <c r="P177" t="n" s="16">
        <v>622.0</v>
      </c>
      <c r="Q177" s="21">
        <f>P177/F177</f>
      </c>
      <c r="R177" t="n" s="17">
        <v>36.0</v>
      </c>
      <c r="S177" t="n" s="17">
        <v>615.0</v>
      </c>
      <c r="T177" s="23">
        <f>S177/F177</f>
      </c>
      <c r="U177" t="n" s="17">
        <v>578.0</v>
      </c>
      <c r="V177" s="23">
        <f>U177/F177</f>
      </c>
    </row>
    <row r="178">
      <c r="A178" t="s" s="18">
        <v>180</v>
      </c>
      <c r="B178" s="19">
        <f>SUM(B172:B177)</f>
      </c>
      <c r="C178" s="19">
        <f>SUM(C172:C177)</f>
      </c>
      <c r="D178" s="19">
        <f>SUM(D172:D177)</f>
      </c>
      <c r="E178" s="19">
        <f>SUM(E172:E177)</f>
      </c>
      <c r="F178" s="19">
        <f>SUM(F172:F177)</f>
      </c>
      <c r="G178" s="22">
        <f>C178/B178</f>
      </c>
      <c r="H178" s="19">
        <f>SUM(H172:H177)</f>
      </c>
      <c r="I178" s="19">
        <f>SUM(I172:I177)</f>
      </c>
      <c r="J178" s="22">
        <f>I178/F178</f>
      </c>
      <c r="K178" s="19">
        <f>SUM(K172:K177)</f>
      </c>
      <c r="L178" s="22">
        <f>K178/F178</f>
      </c>
      <c r="M178" s="19">
        <f>SUM(M172:M177)</f>
      </c>
      <c r="N178" s="19">
        <f>SUM(N172:N177)</f>
      </c>
      <c r="O178" s="22">
        <f>N178/F178</f>
      </c>
      <c r="P178" s="19">
        <f>SUM(P172:P177)</f>
      </c>
      <c r="Q178" s="22">
        <f>P178/F178</f>
      </c>
      <c r="R178" s="19">
        <f>SUM(R172:R177)</f>
      </c>
      <c r="S178" s="19">
        <f>SUM(S172:S177)</f>
      </c>
      <c r="T178" s="22">
        <f>S178/F178</f>
      </c>
      <c r="U178" s="19">
        <f>SUM(U172:U177)</f>
      </c>
      <c r="V178" s="22">
        <f>U178/F178</f>
      </c>
    </row>
    <row r="179"/>
    <row r="180">
      <c r="A180" t="s" s="15">
        <v>187</v>
      </c>
    </row>
    <row r="181">
      <c r="A181" t="s" s="16">
        <v>188</v>
      </c>
      <c r="B181" t="n" s="16">
        <v>2352.0</v>
      </c>
      <c r="C181" t="n" s="16">
        <v>1452.0</v>
      </c>
      <c r="D181" t="n" s="16">
        <v>76.0</v>
      </c>
      <c r="E181" t="n" s="16">
        <v>0.0</v>
      </c>
      <c r="F181" t="n" s="16">
        <v>1452.0</v>
      </c>
      <c r="G181" s="21">
        <f>C181/B181</f>
      </c>
      <c r="H181" t="n" s="17">
        <v>22.0</v>
      </c>
      <c r="I181" t="n" s="17">
        <v>585.0</v>
      </c>
      <c r="J181" s="23">
        <f>I181/F181</f>
      </c>
      <c r="K181" t="n" s="17">
        <v>769.0</v>
      </c>
      <c r="L181" s="23">
        <f>K181/F181</f>
      </c>
      <c r="M181" t="n" s="16">
        <v>35.0</v>
      </c>
      <c r="N181" t="n" s="16">
        <v>688.0</v>
      </c>
      <c r="O181" s="21">
        <f>N181/F181</f>
      </c>
      <c r="P181" t="n" s="16">
        <v>653.0</v>
      </c>
      <c r="Q181" s="21">
        <f>P181/F181</f>
      </c>
      <c r="R181" t="n" s="17">
        <v>47.0</v>
      </c>
      <c r="S181" t="n" s="17">
        <v>555.0</v>
      </c>
      <c r="T181" s="23">
        <f>S181/F181</f>
      </c>
      <c r="U181" t="n" s="17">
        <v>774.0</v>
      </c>
      <c r="V181" s="23">
        <f>U181/F181</f>
      </c>
    </row>
    <row r="182">
      <c r="A182" t="s" s="16">
        <v>189</v>
      </c>
      <c r="B182" t="n" s="16">
        <v>3615.0</v>
      </c>
      <c r="C182" t="n" s="16">
        <v>2355.0</v>
      </c>
      <c r="D182" t="n" s="16">
        <v>116.0</v>
      </c>
      <c r="E182" t="n" s="16">
        <v>1.0</v>
      </c>
      <c r="F182" t="n" s="16">
        <v>2354.0</v>
      </c>
      <c r="G182" s="21">
        <f>C182/B182</f>
      </c>
      <c r="H182" t="n" s="17">
        <v>34.0</v>
      </c>
      <c r="I182" t="n" s="17">
        <v>975.0</v>
      </c>
      <c r="J182" s="23">
        <f>I182/F182</f>
      </c>
      <c r="K182" t="n" s="17">
        <v>1229.0</v>
      </c>
      <c r="L182" s="23">
        <f>K182/F182</f>
      </c>
      <c r="M182" t="n" s="16">
        <v>44.0</v>
      </c>
      <c r="N182" t="n" s="16">
        <v>1097.0</v>
      </c>
      <c r="O182" s="21">
        <f>N182/F182</f>
      </c>
      <c r="P182" t="n" s="16">
        <v>1097.0</v>
      </c>
      <c r="Q182" s="21">
        <f>P182/F182</f>
      </c>
      <c r="R182" t="n" s="17">
        <v>85.0</v>
      </c>
      <c r="S182" t="n" s="17">
        <v>915.0</v>
      </c>
      <c r="T182" s="23">
        <f>S182/F182</f>
      </c>
      <c r="U182" t="n" s="17">
        <v>1238.0</v>
      </c>
      <c r="V182" s="23">
        <f>U182/F182</f>
      </c>
    </row>
    <row r="183">
      <c r="A183" t="s" s="16">
        <v>190</v>
      </c>
      <c r="B183" t="n" s="16">
        <v>1430.0</v>
      </c>
      <c r="C183" t="n" s="16">
        <v>779.0</v>
      </c>
      <c r="D183" t="n" s="16">
        <v>25.0</v>
      </c>
      <c r="E183" t="n" s="16">
        <v>0.0</v>
      </c>
      <c r="F183" t="n" s="16">
        <v>779.0</v>
      </c>
      <c r="G183" s="21">
        <f>C183/B183</f>
      </c>
      <c r="H183" t="n" s="17">
        <v>0.0</v>
      </c>
      <c r="I183" t="n" s="17">
        <v>344.0</v>
      </c>
      <c r="J183" s="23">
        <f>I183/F183</f>
      </c>
      <c r="K183" t="n" s="17">
        <v>410.0</v>
      </c>
      <c r="L183" s="23">
        <f>K183/F183</f>
      </c>
      <c r="M183" t="n" s="16">
        <v>6.0</v>
      </c>
      <c r="N183" t="n" s="16">
        <v>388.0</v>
      </c>
      <c r="O183" s="21">
        <f>N183/F183</f>
      </c>
      <c r="P183" t="n" s="16">
        <v>360.0</v>
      </c>
      <c r="Q183" s="21">
        <f>P183/F183</f>
      </c>
      <c r="R183" t="n" s="17">
        <v>10.0</v>
      </c>
      <c r="S183" t="n" s="17">
        <v>332.0</v>
      </c>
      <c r="T183" s="23">
        <f>S183/F183</f>
      </c>
      <c r="U183" t="n" s="17">
        <v>412.0</v>
      </c>
      <c r="V183" s="23">
        <f>U183/F183</f>
      </c>
    </row>
    <row r="184">
      <c r="A184" t="s" s="16">
        <v>191</v>
      </c>
      <c r="B184" t="n" s="16">
        <v>1337.0</v>
      </c>
      <c r="C184" t="n" s="16">
        <v>813.0</v>
      </c>
      <c r="D184" t="n" s="16">
        <v>48.0</v>
      </c>
      <c r="E184" t="n" s="16">
        <v>2.0</v>
      </c>
      <c r="F184" t="n" s="16">
        <v>811.0</v>
      </c>
      <c r="G184" s="21">
        <f>C184/B184</f>
      </c>
      <c r="H184" t="n" s="17">
        <v>13.0</v>
      </c>
      <c r="I184" t="n" s="17">
        <v>308.0</v>
      </c>
      <c r="J184" s="23">
        <f>I184/F184</f>
      </c>
      <c r="K184" t="n" s="17">
        <v>442.0</v>
      </c>
      <c r="L184" s="23">
        <f>K184/F184</f>
      </c>
      <c r="M184" t="n" s="16">
        <v>9.0</v>
      </c>
      <c r="N184" t="n" s="16">
        <v>425.0</v>
      </c>
      <c r="O184" s="21">
        <f>N184/F184</f>
      </c>
      <c r="P184" t="n" s="16">
        <v>329.0</v>
      </c>
      <c r="Q184" s="21">
        <f>P184/F184</f>
      </c>
      <c r="R184" t="n" s="17">
        <v>33.0</v>
      </c>
      <c r="S184" t="n" s="17">
        <v>283.0</v>
      </c>
      <c r="T184" s="23">
        <f>S184/F184</f>
      </c>
      <c r="U184" t="n" s="17">
        <v>447.0</v>
      </c>
      <c r="V184" s="23">
        <f>U184/F184</f>
      </c>
    </row>
    <row r="185">
      <c r="A185" t="s" s="16">
        <v>192</v>
      </c>
      <c r="B185" t="n" s="16">
        <v>2146.0</v>
      </c>
      <c r="C185" t="n" s="16">
        <v>1260.0</v>
      </c>
      <c r="D185" t="n" s="16">
        <v>68.0</v>
      </c>
      <c r="E185" t="n" s="16">
        <v>0.0</v>
      </c>
      <c r="F185" t="n" s="16">
        <v>1260.0</v>
      </c>
      <c r="G185" s="21">
        <f>C185/B185</f>
      </c>
      <c r="H185" t="n" s="17">
        <v>23.0</v>
      </c>
      <c r="I185" t="n" s="17">
        <v>534.0</v>
      </c>
      <c r="J185" s="23">
        <f>I185/F185</f>
      </c>
      <c r="K185" t="n" s="17">
        <v>635.0</v>
      </c>
      <c r="L185" s="23">
        <f>K185/F185</f>
      </c>
      <c r="M185" t="n" s="16">
        <v>35.0</v>
      </c>
      <c r="N185" t="n" s="16">
        <v>582.0</v>
      </c>
      <c r="O185" s="21">
        <f>N185/F185</f>
      </c>
      <c r="P185" t="n" s="16">
        <v>575.0</v>
      </c>
      <c r="Q185" s="21">
        <f>P185/F185</f>
      </c>
      <c r="R185" t="n" s="17">
        <v>48.0</v>
      </c>
      <c r="S185" t="n" s="17">
        <v>516.0</v>
      </c>
      <c r="T185" s="23">
        <f>S185/F185</f>
      </c>
      <c r="U185" t="n" s="17">
        <v>628.0</v>
      </c>
      <c r="V185" s="23">
        <f>U185/F185</f>
      </c>
    </row>
    <row r="186">
      <c r="A186" t="s" s="16">
        <v>193</v>
      </c>
      <c r="B186" t="n" s="16">
        <v>6481.0</v>
      </c>
      <c r="C186" t="n" s="16">
        <v>3903.0</v>
      </c>
      <c r="D186" t="n" s="16">
        <v>166.0</v>
      </c>
      <c r="E186" t="n" s="16">
        <v>2.0</v>
      </c>
      <c r="F186" t="n" s="16">
        <v>3901.0</v>
      </c>
      <c r="G186" s="21">
        <f>C186/B186</f>
      </c>
      <c r="H186" t="n" s="17">
        <v>60.0</v>
      </c>
      <c r="I186" t="n" s="17">
        <v>1394.0</v>
      </c>
      <c r="J186" s="23">
        <f>I186/F186</f>
      </c>
      <c r="K186" t="n" s="17">
        <v>2281.0</v>
      </c>
      <c r="L186" s="23">
        <f>K186/F186</f>
      </c>
      <c r="M186" t="n" s="16">
        <v>60.0</v>
      </c>
      <c r="N186" t="n" s="16">
        <v>2143.0</v>
      </c>
      <c r="O186" s="21">
        <f>N186/F186</f>
      </c>
      <c r="P186" t="n" s="16">
        <v>1532.0</v>
      </c>
      <c r="Q186" s="21">
        <f>P186/F186</f>
      </c>
      <c r="R186" t="n" s="17">
        <v>116.0</v>
      </c>
      <c r="S186" t="n" s="17">
        <v>1297.0</v>
      </c>
      <c r="T186" s="23">
        <f>S186/F186</f>
      </c>
      <c r="U186" t="n" s="17">
        <v>2322.0</v>
      </c>
      <c r="V186" s="23">
        <f>U186/F186</f>
      </c>
    </row>
    <row r="187">
      <c r="A187" t="s" s="16">
        <v>194</v>
      </c>
      <c r="B187" t="n" s="16">
        <v>390.0</v>
      </c>
      <c r="C187" t="n" s="16">
        <v>239.0</v>
      </c>
      <c r="D187" t="n" s="16">
        <v>7.0</v>
      </c>
      <c r="E187" t="n" s="16">
        <v>0.0</v>
      </c>
      <c r="F187" t="n" s="16">
        <v>239.0</v>
      </c>
      <c r="G187" s="21">
        <f>C187/B187</f>
      </c>
      <c r="H187" t="n" s="17">
        <v>4.0</v>
      </c>
      <c r="I187" t="n" s="17">
        <v>110.0</v>
      </c>
      <c r="J187" s="23">
        <f>I187/F187</f>
      </c>
      <c r="K187" t="n" s="17">
        <v>118.0</v>
      </c>
      <c r="L187" s="23">
        <f>K187/F187</f>
      </c>
      <c r="M187" t="n" s="16">
        <v>8.0</v>
      </c>
      <c r="N187" t="n" s="16">
        <v>110.0</v>
      </c>
      <c r="O187" s="21">
        <f>N187/F187</f>
      </c>
      <c r="P187" t="n" s="16">
        <v>114.0</v>
      </c>
      <c r="Q187" s="21">
        <f>P187/F187</f>
      </c>
      <c r="R187" t="n" s="17">
        <v>8.0</v>
      </c>
      <c r="S187" t="n" s="17">
        <v>101.0</v>
      </c>
      <c r="T187" s="23">
        <f>S187/F187</f>
      </c>
      <c r="U187" t="n" s="17">
        <v>123.0</v>
      </c>
      <c r="V187" s="23">
        <f>U187/F187</f>
      </c>
    </row>
    <row r="188">
      <c r="A188" t="s" s="16">
        <v>195</v>
      </c>
      <c r="B188" t="n" s="16">
        <v>418.0</v>
      </c>
      <c r="C188" t="n" s="16">
        <v>243.0</v>
      </c>
      <c r="D188" t="n" s="16">
        <v>5.0</v>
      </c>
      <c r="E188" t="n" s="16">
        <v>0.0</v>
      </c>
      <c r="F188" t="n" s="16">
        <v>243.0</v>
      </c>
      <c r="G188" s="21">
        <f>C188/B188</f>
      </c>
      <c r="H188" t="n" s="17">
        <v>1.0</v>
      </c>
      <c r="I188" t="n" s="17">
        <v>124.0</v>
      </c>
      <c r="J188" s="23">
        <f>I188/F188</f>
      </c>
      <c r="K188" t="n" s="17">
        <v>113.0</v>
      </c>
      <c r="L188" s="23">
        <f>K188/F188</f>
      </c>
      <c r="M188" t="n" s="16">
        <v>1.0</v>
      </c>
      <c r="N188" t="n" s="16">
        <v>126.0</v>
      </c>
      <c r="O188" s="21">
        <f>N188/F188</f>
      </c>
      <c r="P188" t="n" s="16">
        <v>111.0</v>
      </c>
      <c r="Q188" s="21">
        <f>P188/F188</f>
      </c>
      <c r="R188" t="n" s="17">
        <v>6.0</v>
      </c>
      <c r="S188" t="n" s="17">
        <v>112.0</v>
      </c>
      <c r="T188" s="23">
        <f>S188/F188</f>
      </c>
      <c r="U188" t="n" s="17">
        <v>120.0</v>
      </c>
      <c r="V188" s="23">
        <f>U188/F188</f>
      </c>
    </row>
    <row r="189">
      <c r="A189" t="s" s="16">
        <v>196</v>
      </c>
      <c r="B189" t="n" s="16">
        <v>3844.0</v>
      </c>
      <c r="C189" t="n" s="16">
        <v>2170.0</v>
      </c>
      <c r="D189" t="n" s="16">
        <v>124.0</v>
      </c>
      <c r="E189" t="n" s="16">
        <v>1.0</v>
      </c>
      <c r="F189" t="n" s="16">
        <v>2169.0</v>
      </c>
      <c r="G189" s="21">
        <f>C189/B189</f>
      </c>
      <c r="H189" t="n" s="17">
        <v>32.0</v>
      </c>
      <c r="I189" t="n" s="17">
        <v>1024.0</v>
      </c>
      <c r="J189" s="23">
        <f>I189/F189</f>
      </c>
      <c r="K189" t="n" s="17">
        <v>989.0</v>
      </c>
      <c r="L189" s="23">
        <f>K189/F189</f>
      </c>
      <c r="M189" t="n" s="16">
        <v>46.0</v>
      </c>
      <c r="N189" t="n" s="16">
        <v>973.0</v>
      </c>
      <c r="O189" s="21">
        <f>N189/F189</f>
      </c>
      <c r="P189" t="n" s="16">
        <v>1026.0</v>
      </c>
      <c r="Q189" s="21">
        <f>P189/F189</f>
      </c>
      <c r="R189" t="n" s="17">
        <v>104.0</v>
      </c>
      <c r="S189" t="n" s="17">
        <v>962.0</v>
      </c>
      <c r="T189" s="23">
        <f>S189/F189</f>
      </c>
      <c r="U189" t="n" s="17">
        <v>979.0</v>
      </c>
      <c r="V189" s="23">
        <f>U189/F189</f>
      </c>
    </row>
    <row r="190">
      <c r="A190" t="s" s="16">
        <v>197</v>
      </c>
      <c r="B190" t="n" s="16">
        <v>820.0</v>
      </c>
      <c r="C190" t="n" s="16">
        <v>483.0</v>
      </c>
      <c r="D190" t="n" s="16">
        <v>4.0</v>
      </c>
      <c r="E190" t="n" s="16">
        <v>17.0</v>
      </c>
      <c r="F190" t="n" s="16">
        <v>466.0</v>
      </c>
      <c r="G190" s="21">
        <f>C190/B190</f>
      </c>
      <c r="H190" t="n" s="17">
        <v>8.0</v>
      </c>
      <c r="I190" t="n" s="17">
        <v>206.0</v>
      </c>
      <c r="J190" s="23">
        <f>I190/F190</f>
      </c>
      <c r="K190" t="n" s="17">
        <v>248.0</v>
      </c>
      <c r="L190" s="23">
        <f>K190/F190</f>
      </c>
      <c r="M190" t="n" s="16">
        <v>22.0</v>
      </c>
      <c r="N190" t="n" s="16">
        <v>222.0</v>
      </c>
      <c r="O190" s="21">
        <f>N190/F190</f>
      </c>
      <c r="P190" t="n" s="16">
        <v>218.0</v>
      </c>
      <c r="Q190" s="21">
        <f>P190/F190</f>
      </c>
      <c r="R190" t="n" s="17">
        <v>33.0</v>
      </c>
      <c r="S190" t="n" s="17">
        <v>185.0</v>
      </c>
      <c r="T190" s="23">
        <f>S190/F190</f>
      </c>
      <c r="U190" t="n" s="17">
        <v>244.0</v>
      </c>
      <c r="V190" s="23">
        <f>U190/F190</f>
      </c>
    </row>
    <row r="191">
      <c r="A191" t="s" s="16">
        <v>198</v>
      </c>
      <c r="B191" t="n" s="16">
        <v>1660.0</v>
      </c>
      <c r="C191" t="n" s="16">
        <v>965.0</v>
      </c>
      <c r="D191" t="n" s="16">
        <v>58.0</v>
      </c>
      <c r="E191" t="n" s="16">
        <v>4.0</v>
      </c>
      <c r="F191" t="n" s="16">
        <v>961.0</v>
      </c>
      <c r="G191" s="21">
        <f>C191/B191</f>
      </c>
      <c r="H191" t="n" s="17">
        <v>11.0</v>
      </c>
      <c r="I191" t="n" s="17">
        <v>391.0</v>
      </c>
      <c r="J191" s="23">
        <f>I191/F191</f>
      </c>
      <c r="K191" t="n" s="17">
        <v>501.0</v>
      </c>
      <c r="L191" s="23">
        <f>K191/F191</f>
      </c>
      <c r="M191" t="n" s="16">
        <v>20.0</v>
      </c>
      <c r="N191" t="n" s="16">
        <v>459.0</v>
      </c>
      <c r="O191" s="21">
        <f>N191/F191</f>
      </c>
      <c r="P191" t="n" s="16">
        <v>424.0</v>
      </c>
      <c r="Q191" s="21">
        <f>P191/F191</f>
      </c>
      <c r="R191" t="n" s="17">
        <v>34.0</v>
      </c>
      <c r="S191" t="n" s="17">
        <v>373.0</v>
      </c>
      <c r="T191" s="23">
        <f>S191/F191</f>
      </c>
      <c r="U191" t="n" s="17">
        <v>496.0</v>
      </c>
      <c r="V191" s="23">
        <f>U191/F191</f>
      </c>
    </row>
    <row r="192">
      <c r="A192" t="s" s="16">
        <v>199</v>
      </c>
      <c r="B192" t="n" s="16">
        <v>10902.0</v>
      </c>
      <c r="C192" t="n" s="16">
        <v>6834.0</v>
      </c>
      <c r="D192" t="n" s="16">
        <v>314.0</v>
      </c>
      <c r="E192" t="n" s="16">
        <v>7.0</v>
      </c>
      <c r="F192" t="n" s="16">
        <v>6827.0</v>
      </c>
      <c r="G192" s="21">
        <f>C192/B192</f>
      </c>
      <c r="H192" t="n" s="17">
        <v>120.0</v>
      </c>
      <c r="I192" t="n" s="17">
        <v>2889.0</v>
      </c>
      <c r="J192" s="23">
        <f>I192/F192</f>
      </c>
      <c r="K192" t="n" s="17">
        <v>3504.0</v>
      </c>
      <c r="L192" s="23">
        <f>K192/F192</f>
      </c>
      <c r="M192" t="n" s="16">
        <v>118.0</v>
      </c>
      <c r="N192" t="n" s="16">
        <v>3276.0</v>
      </c>
      <c r="O192" s="21">
        <f>N192/F192</f>
      </c>
      <c r="P192" t="n" s="16">
        <v>3119.0</v>
      </c>
      <c r="Q192" s="21">
        <f>P192/F192</f>
      </c>
      <c r="R192" t="n" s="17">
        <v>185.0</v>
      </c>
      <c r="S192" t="n" s="17">
        <v>2763.0</v>
      </c>
      <c r="T192" s="23">
        <f>S192/F192</f>
      </c>
      <c r="U192" t="n" s="17">
        <v>3565.0</v>
      </c>
      <c r="V192" s="23">
        <f>U192/F192</f>
      </c>
    </row>
    <row r="193">
      <c r="A193" t="s" s="16">
        <v>200</v>
      </c>
      <c r="B193" t="n" s="16">
        <v>240.0</v>
      </c>
      <c r="C193" t="n" s="16">
        <v>162.0</v>
      </c>
      <c r="D193" t="n" s="16">
        <v>4.0</v>
      </c>
      <c r="E193" t="n" s="16">
        <v>0.0</v>
      </c>
      <c r="F193" t="n" s="16">
        <v>162.0</v>
      </c>
      <c r="G193" s="21">
        <f>C193/B193</f>
      </c>
      <c r="H193" t="n" s="17">
        <v>3.0</v>
      </c>
      <c r="I193" t="n" s="17">
        <v>70.0</v>
      </c>
      <c r="J193" s="23">
        <f>I193/F193</f>
      </c>
      <c r="K193" t="n" s="17">
        <v>85.0</v>
      </c>
      <c r="L193" s="23">
        <f>K193/F193</f>
      </c>
      <c r="M193" t="n" s="16">
        <v>4.0</v>
      </c>
      <c r="N193" t="n" s="16">
        <v>78.0</v>
      </c>
      <c r="O193" s="21">
        <f>N193/F193</f>
      </c>
      <c r="P193" t="n" s="16">
        <v>76.0</v>
      </c>
      <c r="Q193" s="21">
        <f>P193/F193</f>
      </c>
      <c r="R193" t="n" s="17">
        <v>4.0</v>
      </c>
      <c r="S193" t="n" s="17">
        <v>69.0</v>
      </c>
      <c r="T193" s="23">
        <f>S193/F193</f>
      </c>
      <c r="U193" t="n" s="17">
        <v>85.0</v>
      </c>
      <c r="V193" s="23">
        <f>U193/F193</f>
      </c>
    </row>
    <row r="194">
      <c r="A194" t="s" s="16">
        <v>201</v>
      </c>
      <c r="B194" t="n" s="16">
        <v>276.0</v>
      </c>
      <c r="C194" t="n" s="16">
        <v>187.0</v>
      </c>
      <c r="D194" t="n" s="16">
        <v>0.0</v>
      </c>
      <c r="E194" t="n" s="16">
        <v>3.0</v>
      </c>
      <c r="F194" t="n" s="16">
        <v>184.0</v>
      </c>
      <c r="G194" s="21">
        <f>C194/B194</f>
      </c>
      <c r="H194" t="n" s="17">
        <v>1.0</v>
      </c>
      <c r="I194" t="n" s="17">
        <v>100.0</v>
      </c>
      <c r="J194" s="23">
        <f>I194/F194</f>
      </c>
      <c r="K194" t="n" s="17">
        <v>83.0</v>
      </c>
      <c r="L194" s="23">
        <f>K194/F194</f>
      </c>
      <c r="M194" t="n" s="16">
        <v>3.0</v>
      </c>
      <c r="N194" t="n" s="16">
        <v>94.0</v>
      </c>
      <c r="O194" s="21">
        <f>N194/F194</f>
      </c>
      <c r="P194" t="n" s="16">
        <v>87.0</v>
      </c>
      <c r="Q194" s="21">
        <f>P194/F194</f>
      </c>
      <c r="R194" t="n" s="17">
        <v>3.0</v>
      </c>
      <c r="S194" t="n" s="17">
        <v>94.0</v>
      </c>
      <c r="T194" s="23">
        <f>S194/F194</f>
      </c>
      <c r="U194" t="n" s="17">
        <v>87.0</v>
      </c>
      <c r="V194" s="23">
        <f>U194/F194</f>
      </c>
    </row>
    <row r="195">
      <c r="A195" t="s" s="16">
        <v>202</v>
      </c>
      <c r="B195" t="n" s="16">
        <v>2212.0</v>
      </c>
      <c r="C195" t="n" s="16">
        <v>1365.0</v>
      </c>
      <c r="D195" t="n" s="16">
        <v>63.0</v>
      </c>
      <c r="E195" t="n" s="16">
        <v>4.0</v>
      </c>
      <c r="F195" t="n" s="16">
        <v>1361.0</v>
      </c>
      <c r="G195" s="21">
        <f>C195/B195</f>
      </c>
      <c r="H195" t="n" s="17">
        <v>19.0</v>
      </c>
      <c r="I195" t="n" s="17">
        <v>584.0</v>
      </c>
      <c r="J195" s="23">
        <f>I195/F195</f>
      </c>
      <c r="K195" t="n" s="17">
        <v>695.0</v>
      </c>
      <c r="L195" s="23">
        <f>K195/F195</f>
      </c>
      <c r="M195" t="n" s="16">
        <v>34.0</v>
      </c>
      <c r="N195" t="n" s="16">
        <v>664.0</v>
      </c>
      <c r="O195" s="21">
        <f>N195/F195</f>
      </c>
      <c r="P195" t="n" s="16">
        <v>600.0</v>
      </c>
      <c r="Q195" s="21">
        <f>P195/F195</f>
      </c>
      <c r="R195" t="n" s="17">
        <v>41.0</v>
      </c>
      <c r="S195" t="n" s="17">
        <v>551.0</v>
      </c>
      <c r="T195" s="23">
        <f>S195/F195</f>
      </c>
      <c r="U195" t="n" s="17">
        <v>706.0</v>
      </c>
      <c r="V195" s="23">
        <f>U195/F195</f>
      </c>
    </row>
    <row r="196">
      <c r="A196" t="s" s="16">
        <v>203</v>
      </c>
      <c r="B196" t="n" s="16">
        <v>1433.0</v>
      </c>
      <c r="C196" t="n" s="16">
        <v>833.0</v>
      </c>
      <c r="D196" t="n" s="16">
        <v>47.0</v>
      </c>
      <c r="E196" t="n" s="16">
        <v>1.0</v>
      </c>
      <c r="F196" t="n" s="16">
        <v>832.0</v>
      </c>
      <c r="G196" s="21">
        <f>C196/B196</f>
      </c>
      <c r="H196" t="n" s="17">
        <v>14.0</v>
      </c>
      <c r="I196" t="n" s="17">
        <v>363.0</v>
      </c>
      <c r="J196" s="23">
        <f>I196/F196</f>
      </c>
      <c r="K196" t="n" s="17">
        <v>408.0</v>
      </c>
      <c r="L196" s="23">
        <f>K196/F196</f>
      </c>
      <c r="M196" t="n" s="16">
        <v>14.0</v>
      </c>
      <c r="N196" t="n" s="16">
        <v>386.0</v>
      </c>
      <c r="O196" s="21">
        <f>N196/F196</f>
      </c>
      <c r="P196" t="n" s="16">
        <v>385.0</v>
      </c>
      <c r="Q196" s="21">
        <f>P196/F196</f>
      </c>
      <c r="R196" t="n" s="17">
        <v>28.0</v>
      </c>
      <c r="S196" t="n" s="17">
        <v>346.0</v>
      </c>
      <c r="T196" s="23">
        <f>S196/F196</f>
      </c>
      <c r="U196" t="n" s="17">
        <v>411.0</v>
      </c>
      <c r="V196" s="23">
        <f>U196/F196</f>
      </c>
    </row>
    <row r="197">
      <c r="A197" t="s" s="18">
        <v>187</v>
      </c>
      <c r="B197" s="19">
        <f>SUM(B181:B196)</f>
      </c>
      <c r="C197" s="19">
        <f>SUM(C181:C196)</f>
      </c>
      <c r="D197" s="19">
        <f>SUM(D181:D196)</f>
      </c>
      <c r="E197" s="19">
        <f>SUM(E181:E196)</f>
      </c>
      <c r="F197" s="19">
        <f>SUM(F181:F196)</f>
      </c>
      <c r="G197" s="22">
        <f>C197/B197</f>
      </c>
      <c r="H197" s="19">
        <f>SUM(H181:H196)</f>
      </c>
      <c r="I197" s="19">
        <f>SUM(I181:I196)</f>
      </c>
      <c r="J197" s="22">
        <f>I197/F197</f>
      </c>
      <c r="K197" s="19">
        <f>SUM(K181:K196)</f>
      </c>
      <c r="L197" s="22">
        <f>K197/F197</f>
      </c>
      <c r="M197" s="19">
        <f>SUM(M181:M196)</f>
      </c>
      <c r="N197" s="19">
        <f>SUM(N181:N196)</f>
      </c>
      <c r="O197" s="22">
        <f>N197/F197</f>
      </c>
      <c r="P197" s="19">
        <f>SUM(P181:P196)</f>
      </c>
      <c r="Q197" s="22">
        <f>P197/F197</f>
      </c>
      <c r="R197" s="19">
        <f>SUM(R181:R196)</f>
      </c>
      <c r="S197" s="19">
        <f>SUM(S181:S196)</f>
      </c>
      <c r="T197" s="22">
        <f>S197/F197</f>
      </c>
      <c r="U197" s="19">
        <f>SUM(U181:U196)</f>
      </c>
      <c r="V197" s="22">
        <f>U197/F197</f>
      </c>
    </row>
    <row r="198"/>
    <row r="199">
      <c r="A199" t="s" s="15">
        <v>204</v>
      </c>
    </row>
    <row r="200">
      <c r="A200" t="s" s="16">
        <v>205</v>
      </c>
      <c r="B200" t="n" s="16">
        <v>361.0</v>
      </c>
      <c r="C200" t="n" s="16">
        <v>199.0</v>
      </c>
      <c r="D200" t="n" s="16">
        <v>4.0</v>
      </c>
      <c r="E200" t="n" s="16">
        <v>2.0</v>
      </c>
      <c r="F200" t="n" s="16">
        <v>197.0</v>
      </c>
      <c r="G200" s="21">
        <f>C200/B200</f>
      </c>
      <c r="H200" t="n" s="17">
        <v>3.0</v>
      </c>
      <c r="I200" t="n" s="17">
        <v>73.0</v>
      </c>
      <c r="J200" s="23">
        <f>I200/F200</f>
      </c>
      <c r="K200" t="n" s="17">
        <v>117.0</v>
      </c>
      <c r="L200" s="23">
        <f>K200/F200</f>
      </c>
      <c r="M200" t="n" s="16">
        <v>5.0</v>
      </c>
      <c r="N200" t="n" s="16">
        <v>104.0</v>
      </c>
      <c r="O200" s="21">
        <f>N200/F200</f>
      </c>
      <c r="P200" t="n" s="16">
        <v>84.0</v>
      </c>
      <c r="Q200" s="21">
        <f>P200/F200</f>
      </c>
      <c r="R200" t="n" s="17">
        <v>7.0</v>
      </c>
      <c r="S200" t="n" s="17">
        <v>66.0</v>
      </c>
      <c r="T200" s="23">
        <f>S200/F200</f>
      </c>
      <c r="U200" t="n" s="17">
        <v>120.0</v>
      </c>
      <c r="V200" s="23">
        <f>U200/F200</f>
      </c>
    </row>
    <row r="201">
      <c r="A201" t="s" s="16">
        <v>206</v>
      </c>
      <c r="B201" t="n" s="16">
        <v>239.0</v>
      </c>
      <c r="C201" t="n" s="16">
        <v>140.0</v>
      </c>
      <c r="D201" t="n" s="16">
        <v>3.0</v>
      </c>
      <c r="E201" t="n" s="16">
        <v>0.0</v>
      </c>
      <c r="F201" t="n" s="16">
        <v>140.0</v>
      </c>
      <c r="G201" s="21">
        <f>C201/B201</f>
      </c>
      <c r="H201" t="n" s="17">
        <v>2.0</v>
      </c>
      <c r="I201" t="n" s="17">
        <v>56.0</v>
      </c>
      <c r="J201" s="23">
        <f>I201/F201</f>
      </c>
      <c r="K201" t="n" s="17">
        <v>79.0</v>
      </c>
      <c r="L201" s="23">
        <f>K201/F201</f>
      </c>
      <c r="M201" t="n" s="16">
        <v>5.0</v>
      </c>
      <c r="N201" t="n" s="16">
        <v>65.0</v>
      </c>
      <c r="O201" s="21">
        <f>N201/F201</f>
      </c>
      <c r="P201" t="n" s="16">
        <v>67.0</v>
      </c>
      <c r="Q201" s="21">
        <f>P201/F201</f>
      </c>
      <c r="R201" t="n" s="17">
        <v>1.0</v>
      </c>
      <c r="S201" t="n" s="17">
        <v>56.0</v>
      </c>
      <c r="T201" s="23">
        <f>S201/F201</f>
      </c>
      <c r="U201" t="n" s="17">
        <v>80.0</v>
      </c>
      <c r="V201" s="23">
        <f>U201/F201</f>
      </c>
    </row>
    <row r="202">
      <c r="A202" t="s" s="16">
        <v>207</v>
      </c>
      <c r="B202" t="n" s="16">
        <v>2648.0</v>
      </c>
      <c r="C202" t="n" s="16">
        <v>1441.0</v>
      </c>
      <c r="D202" t="n" s="16">
        <v>114.0</v>
      </c>
      <c r="E202" t="n" s="16">
        <v>0.0</v>
      </c>
      <c r="F202" t="n" s="16">
        <v>1441.0</v>
      </c>
      <c r="G202" s="21">
        <f>C202/B202</f>
      </c>
      <c r="H202" t="n" s="17">
        <v>23.0</v>
      </c>
      <c r="I202" t="n" s="17">
        <v>559.0</v>
      </c>
      <c r="J202" s="23">
        <f>I202/F202</f>
      </c>
      <c r="K202" t="n" s="17">
        <v>745.0</v>
      </c>
      <c r="L202" s="23">
        <f>K202/F202</f>
      </c>
      <c r="M202" t="n" s="16">
        <v>35.0</v>
      </c>
      <c r="N202" t="n" s="16">
        <v>710.0</v>
      </c>
      <c r="O202" s="21">
        <f>N202/F202</f>
      </c>
      <c r="P202" t="n" s="16">
        <v>582.0</v>
      </c>
      <c r="Q202" s="21">
        <f>P202/F202</f>
      </c>
      <c r="R202" t="n" s="17">
        <v>66.0</v>
      </c>
      <c r="S202" t="n" s="17">
        <v>499.0</v>
      </c>
      <c r="T202" s="23">
        <f>S202/F202</f>
      </c>
      <c r="U202" t="n" s="17">
        <v>762.0</v>
      </c>
      <c r="V202" s="23">
        <f>U202/F202</f>
      </c>
    </row>
    <row r="203">
      <c r="A203" t="s" s="16">
        <v>208</v>
      </c>
      <c r="B203" t="n" s="16">
        <v>386.0</v>
      </c>
      <c r="C203" t="n" s="16">
        <v>227.0</v>
      </c>
      <c r="D203" t="n" s="16">
        <v>0.0</v>
      </c>
      <c r="E203" t="n" s="16">
        <v>1.0</v>
      </c>
      <c r="F203" t="n" s="16">
        <v>226.0</v>
      </c>
      <c r="G203" s="21">
        <f>C203/B203</f>
      </c>
      <c r="H203" t="n" s="17">
        <v>10.0</v>
      </c>
      <c r="I203" t="n" s="17">
        <v>138.0</v>
      </c>
      <c r="J203" s="23">
        <f>I203/F203</f>
      </c>
      <c r="K203" t="n" s="17">
        <v>78.0</v>
      </c>
      <c r="L203" s="23">
        <f>K203/F203</f>
      </c>
      <c r="M203" t="n" s="16">
        <v>12.0</v>
      </c>
      <c r="N203" t="n" s="16">
        <v>67.0</v>
      </c>
      <c r="O203" s="21">
        <f>N203/F203</f>
      </c>
      <c r="P203" t="n" s="16">
        <v>147.0</v>
      </c>
      <c r="Q203" s="21">
        <f>P203/F203</f>
      </c>
      <c r="R203" t="n" s="17">
        <v>17.0</v>
      </c>
      <c r="S203" t="n" s="17">
        <v>70.0</v>
      </c>
      <c r="T203" s="23">
        <f>S203/F203</f>
      </c>
      <c r="U203" t="n" s="17">
        <v>139.0</v>
      </c>
      <c r="V203" s="23">
        <f>U203/F203</f>
      </c>
    </row>
    <row r="204">
      <c r="A204" t="s" s="16">
        <v>209</v>
      </c>
      <c r="B204" t="n" s="16">
        <v>201.0</v>
      </c>
      <c r="C204" t="n" s="16">
        <v>124.0</v>
      </c>
      <c r="D204" t="n" s="16">
        <v>4.0</v>
      </c>
      <c r="E204" t="n" s="16">
        <v>1.0</v>
      </c>
      <c r="F204" t="n" s="16">
        <v>123.0</v>
      </c>
      <c r="G204" s="21">
        <f>C204/B204</f>
      </c>
      <c r="H204" t="n" s="17">
        <v>3.0</v>
      </c>
      <c r="I204" t="n" s="17">
        <v>55.0</v>
      </c>
      <c r="J204" s="23">
        <f>I204/F204</f>
      </c>
      <c r="K204" t="n" s="17">
        <v>61.0</v>
      </c>
      <c r="L204" s="23">
        <f>K204/F204</f>
      </c>
      <c r="M204" t="n" s="16">
        <v>1.0</v>
      </c>
      <c r="N204" t="n" s="16">
        <v>61.0</v>
      </c>
      <c r="O204" s="21">
        <f>N204/F204</f>
      </c>
      <c r="P204" t="n" s="16">
        <v>57.0</v>
      </c>
      <c r="Q204" s="21">
        <f>P204/F204</f>
      </c>
      <c r="R204" t="n" s="17">
        <v>2.0</v>
      </c>
      <c r="S204" t="n" s="17">
        <v>49.0</v>
      </c>
      <c r="T204" s="23">
        <f>S204/F204</f>
      </c>
      <c r="U204" t="n" s="17">
        <v>68.0</v>
      </c>
      <c r="V204" s="23">
        <f>U204/F204</f>
      </c>
    </row>
    <row r="205">
      <c r="A205" t="s" s="16">
        <v>210</v>
      </c>
      <c r="B205" t="n" s="16">
        <v>900.0</v>
      </c>
      <c r="C205" t="n" s="16">
        <v>448.0</v>
      </c>
      <c r="D205" t="n" s="16">
        <v>17.0</v>
      </c>
      <c r="E205" t="n" s="16">
        <v>0.0</v>
      </c>
      <c r="F205" t="n" s="16">
        <v>448.0</v>
      </c>
      <c r="G205" s="21">
        <f>C205/B205</f>
      </c>
      <c r="H205" t="n" s="17">
        <v>3.0</v>
      </c>
      <c r="I205" t="n" s="17">
        <v>180.0</v>
      </c>
      <c r="J205" s="23">
        <f>I205/F205</f>
      </c>
      <c r="K205" t="n" s="17">
        <v>248.0</v>
      </c>
      <c r="L205" s="23">
        <f>K205/F205</f>
      </c>
      <c r="M205" t="n" s="16">
        <v>9.0</v>
      </c>
      <c r="N205" t="n" s="16">
        <v>230.0</v>
      </c>
      <c r="O205" s="21">
        <f>N205/F205</f>
      </c>
      <c r="P205" t="n" s="16">
        <v>192.0</v>
      </c>
      <c r="Q205" s="21">
        <f>P205/F205</f>
      </c>
      <c r="R205" t="n" s="17">
        <v>21.0</v>
      </c>
      <c r="S205" t="n" s="17">
        <v>127.0</v>
      </c>
      <c r="T205" s="23">
        <f>S205/F205</f>
      </c>
      <c r="U205" t="n" s="17">
        <v>283.0</v>
      </c>
      <c r="V205" s="23">
        <f>U205/F205</f>
      </c>
    </row>
    <row r="206">
      <c r="A206" t="s" s="16">
        <v>211</v>
      </c>
      <c r="B206" t="n" s="16">
        <v>297.0</v>
      </c>
      <c r="C206" t="n" s="16">
        <v>201.0</v>
      </c>
      <c r="D206" t="n" s="16">
        <v>8.0</v>
      </c>
      <c r="E206" t="n" s="16">
        <v>10.0</v>
      </c>
      <c r="F206" t="n" s="16">
        <v>191.0</v>
      </c>
      <c r="G206" s="21">
        <f>C206/B206</f>
      </c>
      <c r="H206" t="n" s="17">
        <v>0.0</v>
      </c>
      <c r="I206" t="n" s="17">
        <v>67.0</v>
      </c>
      <c r="J206" s="23">
        <f>I206/F206</f>
      </c>
      <c r="K206" t="n" s="17">
        <v>116.0</v>
      </c>
      <c r="L206" s="23">
        <f>K206/F206</f>
      </c>
      <c r="M206" t="n" s="16">
        <v>3.0</v>
      </c>
      <c r="N206" t="n" s="16">
        <v>99.0</v>
      </c>
      <c r="O206" s="21">
        <f>N206/F206</f>
      </c>
      <c r="P206" t="n" s="16">
        <v>81.0</v>
      </c>
      <c r="Q206" s="21">
        <f>P206/F206</f>
      </c>
      <c r="R206" t="n" s="17">
        <v>3.0</v>
      </c>
      <c r="S206" t="n" s="17">
        <v>62.0</v>
      </c>
      <c r="T206" s="23">
        <f>S206/F206</f>
      </c>
      <c r="U206" t="n" s="17">
        <v>118.0</v>
      </c>
      <c r="V206" s="23">
        <f>U206/F206</f>
      </c>
    </row>
    <row r="207">
      <c r="A207" t="s" s="16">
        <v>212</v>
      </c>
      <c r="B207" t="n" s="16">
        <v>401.0</v>
      </c>
      <c r="C207" t="n" s="16">
        <v>247.0</v>
      </c>
      <c r="D207" t="n" s="16">
        <v>6.0</v>
      </c>
      <c r="E207" t="n" s="16">
        <v>1.0</v>
      </c>
      <c r="F207" t="n" s="16">
        <v>246.0</v>
      </c>
      <c r="G207" s="21">
        <f>C207/B207</f>
      </c>
      <c r="H207" t="n" s="17">
        <v>2.0</v>
      </c>
      <c r="I207" t="n" s="17">
        <v>89.0</v>
      </c>
      <c r="J207" s="23">
        <f>I207/F207</f>
      </c>
      <c r="K207" t="n" s="17">
        <v>149.0</v>
      </c>
      <c r="L207" s="23">
        <f>K207/F207</f>
      </c>
      <c r="M207" t="n" s="16">
        <v>3.0</v>
      </c>
      <c r="N207" t="n" s="16">
        <v>134.0</v>
      </c>
      <c r="O207" s="21">
        <f>N207/F207</f>
      </c>
      <c r="P207" t="n" s="16">
        <v>103.0</v>
      </c>
      <c r="Q207" s="21">
        <f>P207/F207</f>
      </c>
      <c r="R207" t="n" s="17">
        <v>10.0</v>
      </c>
      <c r="S207" t="n" s="17">
        <v>76.0</v>
      </c>
      <c r="T207" s="23">
        <f>S207/F207</f>
      </c>
      <c r="U207" t="n" s="17">
        <v>154.0</v>
      </c>
      <c r="V207" s="23">
        <f>U207/F207</f>
      </c>
    </row>
    <row r="208">
      <c r="A208" t="s" s="16">
        <v>213</v>
      </c>
      <c r="B208" t="n" s="16">
        <v>430.0</v>
      </c>
      <c r="C208" t="n" s="16">
        <v>277.0</v>
      </c>
      <c r="D208" t="n" s="16">
        <v>7.0</v>
      </c>
      <c r="E208" t="n" s="16">
        <v>0.0</v>
      </c>
      <c r="F208" t="n" s="16">
        <v>277.0</v>
      </c>
      <c r="G208" s="21">
        <f>C208/B208</f>
      </c>
      <c r="H208" t="n" s="17">
        <v>2.0</v>
      </c>
      <c r="I208" t="n" s="17">
        <v>94.0</v>
      </c>
      <c r="J208" s="23">
        <f>I208/F208</f>
      </c>
      <c r="K208" t="n" s="17">
        <v>174.0</v>
      </c>
      <c r="L208" s="23">
        <f>K208/F208</f>
      </c>
      <c r="M208" t="n" s="16">
        <v>7.0</v>
      </c>
      <c r="N208" t="n" s="16">
        <v>129.0</v>
      </c>
      <c r="O208" s="21">
        <f>N208/F208</f>
      </c>
      <c r="P208" t="n" s="16">
        <v>134.0</v>
      </c>
      <c r="Q208" s="21">
        <f>P208/F208</f>
      </c>
      <c r="R208" t="n" s="17">
        <v>7.0</v>
      </c>
      <c r="S208" t="n" s="17">
        <v>82.0</v>
      </c>
      <c r="T208" s="23">
        <f>S208/F208</f>
      </c>
      <c r="U208" t="n" s="17">
        <v>181.0</v>
      </c>
      <c r="V208" s="23">
        <f>U208/F208</f>
      </c>
    </row>
    <row r="209">
      <c r="A209" t="s" s="16">
        <v>214</v>
      </c>
      <c r="B209" t="n" s="16">
        <v>108.0</v>
      </c>
      <c r="C209" t="n" s="16">
        <v>80.0</v>
      </c>
      <c r="D209" t="n" s="16">
        <v>2.0</v>
      </c>
      <c r="E209" t="n" s="16">
        <v>2.0</v>
      </c>
      <c r="F209" t="n" s="16">
        <v>78.0</v>
      </c>
      <c r="G209" s="21">
        <f>C209/B209</f>
      </c>
      <c r="H209" t="n" s="17">
        <v>0.0</v>
      </c>
      <c r="I209" t="n" s="17">
        <v>32.0</v>
      </c>
      <c r="J209" s="23">
        <f>I209/F209</f>
      </c>
      <c r="K209" t="n" s="17">
        <v>44.0</v>
      </c>
      <c r="L209" s="23">
        <f>K209/F209</f>
      </c>
      <c r="M209" t="n" s="16">
        <v>2.0</v>
      </c>
      <c r="N209" t="n" s="16">
        <v>43.0</v>
      </c>
      <c r="O209" s="21">
        <f>N209/F209</f>
      </c>
      <c r="P209" t="n" s="16">
        <v>31.0</v>
      </c>
      <c r="Q209" s="21">
        <f>P209/F209</f>
      </c>
      <c r="R209" t="n" s="17">
        <v>1.0</v>
      </c>
      <c r="S209" t="n" s="17">
        <v>31.0</v>
      </c>
      <c r="T209" s="23">
        <f>S209/F209</f>
      </c>
      <c r="U209" t="n" s="17">
        <v>44.0</v>
      </c>
      <c r="V209" s="23">
        <f>U209/F209</f>
      </c>
    </row>
    <row r="210">
      <c r="A210" t="s" s="16">
        <v>215</v>
      </c>
      <c r="B210" t="n" s="16">
        <v>227.0</v>
      </c>
      <c r="C210" t="n" s="16">
        <v>135.0</v>
      </c>
      <c r="D210" t="n" s="16">
        <v>0.0</v>
      </c>
      <c r="E210" t="n" s="16">
        <v>0.0</v>
      </c>
      <c r="F210" t="n" s="16">
        <v>135.0</v>
      </c>
      <c r="G210" s="21">
        <f>C210/B210</f>
      </c>
      <c r="H210" t="n" s="17">
        <v>2.0</v>
      </c>
      <c r="I210" t="n" s="17">
        <v>48.0</v>
      </c>
      <c r="J210" s="23">
        <f>I210/F210</f>
      </c>
      <c r="K210" t="n" s="17">
        <v>85.0</v>
      </c>
      <c r="L210" s="23">
        <f>K210/F210</f>
      </c>
      <c r="M210" t="n" s="16">
        <v>2.0</v>
      </c>
      <c r="N210" t="n" s="16">
        <v>83.0</v>
      </c>
      <c r="O210" s="21">
        <f>N210/F210</f>
      </c>
      <c r="P210" t="n" s="16">
        <v>50.0</v>
      </c>
      <c r="Q210" s="21">
        <f>P210/F210</f>
      </c>
      <c r="R210" t="n" s="17">
        <v>7.0</v>
      </c>
      <c r="S210" t="n" s="17">
        <v>44.0</v>
      </c>
      <c r="T210" s="23">
        <f>S210/F210</f>
      </c>
      <c r="U210" t="n" s="17">
        <v>84.0</v>
      </c>
      <c r="V210" s="23">
        <f>U210/F210</f>
      </c>
    </row>
    <row r="211">
      <c r="A211" t="s" s="16">
        <v>216</v>
      </c>
      <c r="B211" t="n" s="16">
        <v>243.0</v>
      </c>
      <c r="C211" t="n" s="16">
        <v>148.0</v>
      </c>
      <c r="D211" t="n" s="16">
        <v>0.0</v>
      </c>
      <c r="E211" t="n" s="16">
        <v>0.0</v>
      </c>
      <c r="F211" t="n" s="16">
        <v>148.0</v>
      </c>
      <c r="G211" s="21">
        <f>C211/B211</f>
      </c>
      <c r="H211" t="n" s="17">
        <v>2.0</v>
      </c>
      <c r="I211" t="n" s="17">
        <v>60.0</v>
      </c>
      <c r="J211" s="23">
        <f>I211/F211</f>
      </c>
      <c r="K211" t="n" s="17">
        <v>86.0</v>
      </c>
      <c r="L211" s="23">
        <f>K211/F211</f>
      </c>
      <c r="M211" t="n" s="16">
        <v>3.0</v>
      </c>
      <c r="N211" t="n" s="16">
        <v>81.0</v>
      </c>
      <c r="O211" s="21">
        <f>N211/F211</f>
      </c>
      <c r="P211" t="n" s="16">
        <v>64.0</v>
      </c>
      <c r="Q211" s="21">
        <f>P211/F211</f>
      </c>
      <c r="R211" t="n" s="17">
        <v>4.0</v>
      </c>
      <c r="S211" t="n" s="17">
        <v>55.0</v>
      </c>
      <c r="T211" s="23">
        <f>S211/F211</f>
      </c>
      <c r="U211" t="n" s="17">
        <v>89.0</v>
      </c>
      <c r="V211" s="23">
        <f>U211/F211</f>
      </c>
    </row>
    <row r="212">
      <c r="A212" t="s" s="16">
        <v>217</v>
      </c>
      <c r="B212" t="n" s="16">
        <v>148.0</v>
      </c>
      <c r="C212" t="n" s="16">
        <v>85.0</v>
      </c>
      <c r="D212" t="n" s="16">
        <v>0.0</v>
      </c>
      <c r="E212" t="n" s="16">
        <v>0.0</v>
      </c>
      <c r="F212" t="n" s="16">
        <v>85.0</v>
      </c>
      <c r="G212" s="21">
        <f>C212/B212</f>
      </c>
      <c r="H212" t="n" s="17">
        <v>5.0</v>
      </c>
      <c r="I212" t="n" s="17">
        <v>23.0</v>
      </c>
      <c r="J212" s="23">
        <f>I212/F212</f>
      </c>
      <c r="K212" t="n" s="17">
        <v>57.0</v>
      </c>
      <c r="L212" s="23">
        <f>K212/F212</f>
      </c>
      <c r="M212" t="n" s="16">
        <v>4.0</v>
      </c>
      <c r="N212" t="n" s="16">
        <v>53.0</v>
      </c>
      <c r="O212" s="21">
        <f>N212/F212</f>
      </c>
      <c r="P212" t="n" s="16">
        <v>28.0</v>
      </c>
      <c r="Q212" s="21">
        <f>P212/F212</f>
      </c>
      <c r="R212" t="n" s="17">
        <v>4.0</v>
      </c>
      <c r="S212" t="n" s="17">
        <v>20.0</v>
      </c>
      <c r="T212" s="23">
        <f>S212/F212</f>
      </c>
      <c r="U212" t="n" s="17">
        <v>61.0</v>
      </c>
      <c r="V212" s="23">
        <f>U212/F212</f>
      </c>
    </row>
    <row r="213">
      <c r="A213" t="s" s="16">
        <v>218</v>
      </c>
      <c r="B213" t="n" s="16">
        <v>2963.0</v>
      </c>
      <c r="C213" t="n" s="16">
        <v>1659.0</v>
      </c>
      <c r="D213" t="n" s="16">
        <v>76.0</v>
      </c>
      <c r="E213" t="n" s="16">
        <v>0.0</v>
      </c>
      <c r="F213" t="n" s="16">
        <v>1659.0</v>
      </c>
      <c r="G213" s="21">
        <f>C213/B213</f>
      </c>
      <c r="H213" t="n" s="17">
        <v>28.0</v>
      </c>
      <c r="I213" t="n" s="17">
        <v>761.0</v>
      </c>
      <c r="J213" s="23">
        <f>I213/F213</f>
      </c>
      <c r="K213" t="n" s="17">
        <v>794.0</v>
      </c>
      <c r="L213" s="23">
        <f>K213/F213</f>
      </c>
      <c r="M213" t="n" s="16">
        <v>42.0</v>
      </c>
      <c r="N213" t="n" s="16">
        <v>749.0</v>
      </c>
      <c r="O213" s="21">
        <f>N213/F213</f>
      </c>
      <c r="P213" t="n" s="16">
        <v>792.0</v>
      </c>
      <c r="Q213" s="21">
        <f>P213/F213</f>
      </c>
      <c r="R213" t="n" s="17">
        <v>56.0</v>
      </c>
      <c r="S213" t="n" s="17">
        <v>716.0</v>
      </c>
      <c r="T213" s="23">
        <f>S213/F213</f>
      </c>
      <c r="U213" t="n" s="17">
        <v>811.0</v>
      </c>
      <c r="V213" s="23">
        <f>U213/F213</f>
      </c>
    </row>
    <row r="214">
      <c r="A214" t="s" s="16">
        <v>219</v>
      </c>
      <c r="B214" t="n" s="16">
        <v>366.0</v>
      </c>
      <c r="C214" t="n" s="16">
        <v>211.0</v>
      </c>
      <c r="D214" t="n" s="16">
        <v>3.0</v>
      </c>
      <c r="E214" t="n" s="16">
        <v>4.0</v>
      </c>
      <c r="F214" t="n" s="16">
        <v>207.0</v>
      </c>
      <c r="G214" s="21">
        <f>C214/B214</f>
      </c>
      <c r="H214" t="n" s="17">
        <v>1.0</v>
      </c>
      <c r="I214" t="n" s="17">
        <v>78.0</v>
      </c>
      <c r="J214" s="23">
        <f>I214/F214</f>
      </c>
      <c r="K214" t="n" s="17">
        <v>125.0</v>
      </c>
      <c r="L214" s="23">
        <f>K214/F214</f>
      </c>
      <c r="M214" t="n" s="16">
        <v>1.0</v>
      </c>
      <c r="N214" t="n" s="16">
        <v>106.0</v>
      </c>
      <c r="O214" s="21">
        <f>N214/F214</f>
      </c>
      <c r="P214" t="n" s="16">
        <v>97.0</v>
      </c>
      <c r="Q214" s="21">
        <f>P214/F214</f>
      </c>
      <c r="R214" t="n" s="17">
        <v>6.0</v>
      </c>
      <c r="S214" t="n" s="17">
        <v>77.0</v>
      </c>
      <c r="T214" s="23">
        <f>S214/F214</f>
      </c>
      <c r="U214" t="n" s="17">
        <v>121.0</v>
      </c>
      <c r="V214" s="23">
        <f>U214/F214</f>
      </c>
    </row>
    <row r="215">
      <c r="A215" t="s" s="16">
        <v>220</v>
      </c>
      <c r="B215" t="n" s="16">
        <v>489.0</v>
      </c>
      <c r="C215" t="n" s="16">
        <v>321.0</v>
      </c>
      <c r="D215" t="n" s="16">
        <v>15.0</v>
      </c>
      <c r="E215" t="n" s="16">
        <v>0.0</v>
      </c>
      <c r="F215" t="n" s="16">
        <v>321.0</v>
      </c>
      <c r="G215" s="21">
        <f>C215/B215</f>
      </c>
      <c r="H215" t="n" s="17">
        <v>1.0</v>
      </c>
      <c r="I215" t="n" s="17">
        <v>110.0</v>
      </c>
      <c r="J215" s="23">
        <f>I215/F215</f>
      </c>
      <c r="K215" t="n" s="17">
        <v>195.0</v>
      </c>
      <c r="L215" s="23">
        <f>K215/F215</f>
      </c>
      <c r="M215" t="n" s="16">
        <v>3.0</v>
      </c>
      <c r="N215" t="n" s="16">
        <v>182.0</v>
      </c>
      <c r="O215" s="21">
        <f>N215/F215</f>
      </c>
      <c r="P215" t="n" s="16">
        <v>121.0</v>
      </c>
      <c r="Q215" s="21">
        <f>P215/F215</f>
      </c>
      <c r="R215" t="n" s="17">
        <v>6.0</v>
      </c>
      <c r="S215" t="n" s="17">
        <v>106.0</v>
      </c>
      <c r="T215" s="23">
        <f>S215/F215</f>
      </c>
      <c r="U215" t="n" s="17">
        <v>194.0</v>
      </c>
      <c r="V215" s="23">
        <f>U215/F215</f>
      </c>
    </row>
    <row r="216">
      <c r="A216" t="s" s="16">
        <v>221</v>
      </c>
      <c r="B216" t="n" s="16">
        <v>1001.0</v>
      </c>
      <c r="C216" t="n" s="16">
        <v>575.0</v>
      </c>
      <c r="D216" t="n" s="16">
        <v>5.0</v>
      </c>
      <c r="E216" t="n" s="16">
        <v>3.0</v>
      </c>
      <c r="F216" t="n" s="16">
        <v>572.0</v>
      </c>
      <c r="G216" s="21">
        <f>C216/B216</f>
      </c>
      <c r="H216" t="n" s="17">
        <v>4.0</v>
      </c>
      <c r="I216" t="n" s="17">
        <v>282.0</v>
      </c>
      <c r="J216" s="23">
        <f>I216/F216</f>
      </c>
      <c r="K216" t="n" s="17">
        <v>281.0</v>
      </c>
      <c r="L216" s="23">
        <f>K216/F216</f>
      </c>
      <c r="M216" t="n" s="16">
        <v>11.0</v>
      </c>
      <c r="N216" t="n" s="16">
        <v>274.0</v>
      </c>
      <c r="O216" s="21">
        <f>N216/F216</f>
      </c>
      <c r="P216" t="n" s="16">
        <v>282.0</v>
      </c>
      <c r="Q216" s="21">
        <f>P216/F216</f>
      </c>
      <c r="R216" t="n" s="17">
        <v>16.0</v>
      </c>
      <c r="S216" t="n" s="17">
        <v>261.0</v>
      </c>
      <c r="T216" s="23">
        <f>S216/F216</f>
      </c>
      <c r="U216" t="n" s="17">
        <v>290.0</v>
      </c>
      <c r="V216" s="23">
        <f>U216/F216</f>
      </c>
    </row>
    <row r="217">
      <c r="A217" t="s" s="16">
        <v>222</v>
      </c>
      <c r="B217" t="n" s="16">
        <v>161.0</v>
      </c>
      <c r="C217" t="n" s="16">
        <v>94.0</v>
      </c>
      <c r="D217" t="n" s="16">
        <v>0.0</v>
      </c>
      <c r="E217" t="n" s="16">
        <v>0.0</v>
      </c>
      <c r="F217" t="n" s="16">
        <v>94.0</v>
      </c>
      <c r="G217" s="21">
        <f>C217/B217</f>
      </c>
      <c r="H217" t="n" s="17">
        <v>2.0</v>
      </c>
      <c r="I217" t="n" s="17">
        <v>48.0</v>
      </c>
      <c r="J217" s="23">
        <f>I217/F217</f>
      </c>
      <c r="K217" t="n" s="17">
        <v>44.0</v>
      </c>
      <c r="L217" s="23">
        <f>K217/F217</f>
      </c>
      <c r="M217" t="n" s="16">
        <v>4.0</v>
      </c>
      <c r="N217" t="n" s="16">
        <v>50.0</v>
      </c>
      <c r="O217" s="21">
        <f>N217/F217</f>
      </c>
      <c r="P217" t="n" s="16">
        <v>40.0</v>
      </c>
      <c r="Q217" s="21">
        <f>P217/F217</f>
      </c>
      <c r="R217" t="n" s="17">
        <v>4.0</v>
      </c>
      <c r="S217" t="n" s="17">
        <v>44.0</v>
      </c>
      <c r="T217" s="23">
        <f>S217/F217</f>
      </c>
      <c r="U217" t="n" s="17">
        <v>46.0</v>
      </c>
      <c r="V217" s="23">
        <f>U217/F217</f>
      </c>
    </row>
    <row r="218">
      <c r="A218" t="s" s="16">
        <v>223</v>
      </c>
      <c r="B218" t="n" s="16">
        <v>1813.0</v>
      </c>
      <c r="C218" t="n" s="16">
        <v>981.0</v>
      </c>
      <c r="D218" t="n" s="16">
        <v>21.0</v>
      </c>
      <c r="E218" t="n" s="16">
        <v>5.0</v>
      </c>
      <c r="F218" t="n" s="16">
        <v>976.0</v>
      </c>
      <c r="G218" s="21">
        <f>C218/B218</f>
      </c>
      <c r="H218" t="n" s="17">
        <v>8.0</v>
      </c>
      <c r="I218" t="n" s="17">
        <v>407.0</v>
      </c>
      <c r="J218" s="23">
        <f>I218/F218</f>
      </c>
      <c r="K218" t="n" s="17">
        <v>540.0</v>
      </c>
      <c r="L218" s="23">
        <f>K218/F218</f>
      </c>
      <c r="M218" t="n" s="16">
        <v>20.0</v>
      </c>
      <c r="N218" t="n" s="16">
        <v>511.0</v>
      </c>
      <c r="O218" s="21">
        <f>N218/F218</f>
      </c>
      <c r="P218" t="n" s="16">
        <v>424.0</v>
      </c>
      <c r="Q218" s="21">
        <f>P218/F218</f>
      </c>
      <c r="R218" t="n" s="17">
        <v>35.0</v>
      </c>
      <c r="S218" t="n" s="17">
        <v>361.0</v>
      </c>
      <c r="T218" s="23">
        <f>S218/F218</f>
      </c>
      <c r="U218" t="n" s="17">
        <v>559.0</v>
      </c>
      <c r="V218" s="23">
        <f>U218/F218</f>
      </c>
    </row>
    <row r="219">
      <c r="A219" t="s" s="16">
        <v>224</v>
      </c>
      <c r="B219" t="n" s="16">
        <v>2058.0</v>
      </c>
      <c r="C219" t="n" s="16">
        <v>1252.0</v>
      </c>
      <c r="D219" t="n" s="16">
        <v>58.0</v>
      </c>
      <c r="E219" t="n" s="16">
        <v>3.0</v>
      </c>
      <c r="F219" t="n" s="16">
        <v>1249.0</v>
      </c>
      <c r="G219" s="21">
        <f>C219/B219</f>
      </c>
      <c r="H219" t="n" s="17">
        <v>22.0</v>
      </c>
      <c r="I219" t="n" s="17">
        <v>462.0</v>
      </c>
      <c r="J219" s="23">
        <f>I219/F219</f>
      </c>
      <c r="K219" t="n" s="17">
        <v>707.0</v>
      </c>
      <c r="L219" s="23">
        <f>K219/F219</f>
      </c>
      <c r="M219" t="n" s="16">
        <v>29.0</v>
      </c>
      <c r="N219" t="n" s="16">
        <v>687.0</v>
      </c>
      <c r="O219" s="21">
        <f>N219/F219</f>
      </c>
      <c r="P219" t="n" s="16">
        <v>475.0</v>
      </c>
      <c r="Q219" s="21">
        <f>P219/F219</f>
      </c>
      <c r="R219" t="n" s="17">
        <v>39.0</v>
      </c>
      <c r="S219" t="n" s="17">
        <v>431.0</v>
      </c>
      <c r="T219" s="23">
        <f>S219/F219</f>
      </c>
      <c r="U219" t="n" s="17">
        <v>721.0</v>
      </c>
      <c r="V219" s="23">
        <f>U219/F219</f>
      </c>
    </row>
    <row r="220">
      <c r="A220" t="s" s="16">
        <v>225</v>
      </c>
      <c r="B220" t="n" s="16">
        <v>712.0</v>
      </c>
      <c r="C220" t="n" s="16">
        <v>415.0</v>
      </c>
      <c r="D220" t="n" s="16">
        <v>14.0</v>
      </c>
      <c r="E220" t="n" s="16">
        <v>0.0</v>
      </c>
      <c r="F220" t="n" s="16">
        <v>415.0</v>
      </c>
      <c r="G220" s="21">
        <f>C220/B220</f>
      </c>
      <c r="H220" t="n" s="17">
        <v>3.0</v>
      </c>
      <c r="I220" t="n" s="17">
        <v>178.0</v>
      </c>
      <c r="J220" s="23">
        <f>I220/F220</f>
      </c>
      <c r="K220" t="n" s="17">
        <v>220.0</v>
      </c>
      <c r="L220" s="23">
        <f>K220/F220</f>
      </c>
      <c r="M220" t="n" s="16">
        <v>11.0</v>
      </c>
      <c r="N220" t="n" s="16">
        <v>201.0</v>
      </c>
      <c r="O220" s="21">
        <f>N220/F220</f>
      </c>
      <c r="P220" t="n" s="16">
        <v>189.0</v>
      </c>
      <c r="Q220" s="21">
        <f>P220/F220</f>
      </c>
      <c r="R220" t="n" s="17">
        <v>18.0</v>
      </c>
      <c r="S220" t="n" s="17">
        <v>162.0</v>
      </c>
      <c r="T220" s="23">
        <f>S220/F220</f>
      </c>
      <c r="U220" t="n" s="17">
        <v>221.0</v>
      </c>
      <c r="V220" s="23">
        <f>U220/F220</f>
      </c>
    </row>
    <row r="221">
      <c r="A221" t="s" s="16">
        <v>226</v>
      </c>
      <c r="B221" t="n" s="16">
        <v>1694.0</v>
      </c>
      <c r="C221" t="n" s="16">
        <v>990.0</v>
      </c>
      <c r="D221" t="n" s="16">
        <v>59.0</v>
      </c>
      <c r="E221" t="n" s="16">
        <v>0.0</v>
      </c>
      <c r="F221" t="n" s="16">
        <v>990.0</v>
      </c>
      <c r="G221" s="21">
        <f>C221/B221</f>
      </c>
      <c r="H221" t="n" s="17">
        <v>18.0</v>
      </c>
      <c r="I221" t="n" s="17">
        <v>405.0</v>
      </c>
      <c r="J221" s="23">
        <f>I221/F221</f>
      </c>
      <c r="K221" t="n" s="17">
        <v>508.0</v>
      </c>
      <c r="L221" s="23">
        <f>K221/F221</f>
      </c>
      <c r="M221" t="n" s="16">
        <v>21.0</v>
      </c>
      <c r="N221" t="n" s="16">
        <v>489.0</v>
      </c>
      <c r="O221" s="21">
        <f>N221/F221</f>
      </c>
      <c r="P221" t="n" s="16">
        <v>421.0</v>
      </c>
      <c r="Q221" s="21">
        <f>P221/F221</f>
      </c>
      <c r="R221" t="n" s="17">
        <v>47.0</v>
      </c>
      <c r="S221" t="n" s="17">
        <v>380.0</v>
      </c>
      <c r="T221" s="23">
        <f>S221/F221</f>
      </c>
      <c r="U221" t="n" s="17">
        <v>504.0</v>
      </c>
      <c r="V221" s="23">
        <f>U221/F221</f>
      </c>
    </row>
    <row r="222">
      <c r="A222" t="s" s="16">
        <v>227</v>
      </c>
      <c r="B222" t="n" s="16">
        <v>224.0</v>
      </c>
      <c r="C222" t="n" s="16">
        <v>128.0</v>
      </c>
      <c r="D222" t="n" s="16">
        <v>5.0</v>
      </c>
      <c r="E222" t="n" s="16">
        <v>0.0</v>
      </c>
      <c r="F222" t="n" s="16">
        <v>128.0</v>
      </c>
      <c r="G222" s="21">
        <f>C222/B222</f>
      </c>
      <c r="H222" t="n" s="17">
        <v>4.0</v>
      </c>
      <c r="I222" t="n" s="17">
        <v>60.0</v>
      </c>
      <c r="J222" s="23">
        <f>I222/F222</f>
      </c>
      <c r="K222" t="n" s="17">
        <v>59.0</v>
      </c>
      <c r="L222" s="23">
        <f>K222/F222</f>
      </c>
      <c r="M222" t="n" s="16">
        <v>6.0</v>
      </c>
      <c r="N222" t="n" s="16">
        <v>63.0</v>
      </c>
      <c r="O222" s="21">
        <f>N222/F222</f>
      </c>
      <c r="P222" t="n" s="16">
        <v>54.0</v>
      </c>
      <c r="Q222" s="21">
        <f>P222/F222</f>
      </c>
      <c r="R222" t="n" s="17">
        <v>0.0</v>
      </c>
      <c r="S222" t="n" s="17">
        <v>57.0</v>
      </c>
      <c r="T222" s="23">
        <f>S222/F222</f>
      </c>
      <c r="U222" t="n" s="17">
        <v>66.0</v>
      </c>
      <c r="V222" s="23">
        <f>U222/F222</f>
      </c>
    </row>
    <row r="223">
      <c r="A223" t="s" s="16">
        <v>228</v>
      </c>
      <c r="B223" t="n" s="16">
        <v>518.0</v>
      </c>
      <c r="C223" t="n" s="16">
        <v>326.0</v>
      </c>
      <c r="D223" t="n" s="16">
        <v>5.0</v>
      </c>
      <c r="E223" t="n" s="16">
        <v>0.0</v>
      </c>
      <c r="F223" t="n" s="16">
        <v>326.0</v>
      </c>
      <c r="G223" s="21">
        <f>C223/B223</f>
      </c>
      <c r="H223" t="n" s="17">
        <v>1.0</v>
      </c>
      <c r="I223" t="n" s="17">
        <v>106.0</v>
      </c>
      <c r="J223" s="23">
        <f>I223/F223</f>
      </c>
      <c r="K223" t="n" s="17">
        <v>214.0</v>
      </c>
      <c r="L223" s="23">
        <f>K223/F223</f>
      </c>
      <c r="M223" t="n" s="16">
        <v>6.0</v>
      </c>
      <c r="N223" t="n" s="16">
        <v>191.0</v>
      </c>
      <c r="O223" s="21">
        <f>N223/F223</f>
      </c>
      <c r="P223" t="n" s="16">
        <v>124.0</v>
      </c>
      <c r="Q223" s="21">
        <f>P223/F223</f>
      </c>
      <c r="R223" t="n" s="17">
        <v>11.0</v>
      </c>
      <c r="S223" t="n" s="17">
        <v>96.0</v>
      </c>
      <c r="T223" s="23">
        <f>S223/F223</f>
      </c>
      <c r="U223" t="n" s="17">
        <v>214.0</v>
      </c>
      <c r="V223" s="23">
        <f>U223/F223</f>
      </c>
    </row>
    <row r="224">
      <c r="A224" t="s" s="16">
        <v>229</v>
      </c>
      <c r="B224" t="n" s="16">
        <v>1369.0</v>
      </c>
      <c r="C224" t="n" s="16">
        <v>673.0</v>
      </c>
      <c r="D224" t="n" s="16">
        <v>34.0</v>
      </c>
      <c r="E224" t="n" s="16">
        <v>2.0</v>
      </c>
      <c r="F224" t="n" s="16">
        <v>671.0</v>
      </c>
      <c r="G224" s="21">
        <f>C224/B224</f>
      </c>
      <c r="H224" t="n" s="17">
        <v>6.0</v>
      </c>
      <c r="I224" t="n" s="17">
        <v>289.0</v>
      </c>
      <c r="J224" s="23">
        <f>I224/F224</f>
      </c>
      <c r="K224" t="n" s="17">
        <v>342.0</v>
      </c>
      <c r="L224" s="23">
        <f>K224/F224</f>
      </c>
      <c r="M224" t="n" s="16">
        <v>21.0</v>
      </c>
      <c r="N224" t="n" s="16">
        <v>346.0</v>
      </c>
      <c r="O224" s="21">
        <f>N224/F224</f>
      </c>
      <c r="P224" t="n" s="16">
        <v>270.0</v>
      </c>
      <c r="Q224" s="21">
        <f>P224/F224</f>
      </c>
      <c r="R224" t="n" s="17">
        <v>36.0</v>
      </c>
      <c r="S224" t="n" s="17">
        <v>255.0</v>
      </c>
      <c r="T224" s="23">
        <f>S224/F224</f>
      </c>
      <c r="U224" t="n" s="17">
        <v>346.0</v>
      </c>
      <c r="V224" s="23">
        <f>U224/F224</f>
      </c>
    </row>
    <row r="225">
      <c r="A225" t="s" s="16">
        <v>230</v>
      </c>
      <c r="B225" t="n" s="16">
        <v>695.0</v>
      </c>
      <c r="C225" t="n" s="16">
        <v>415.0</v>
      </c>
      <c r="D225" t="n" s="16">
        <v>19.0</v>
      </c>
      <c r="E225" t="n" s="16">
        <v>0.0</v>
      </c>
      <c r="F225" t="n" s="16">
        <v>415.0</v>
      </c>
      <c r="G225" s="21">
        <f>C225/B225</f>
      </c>
      <c r="H225" t="n" s="17">
        <v>4.0</v>
      </c>
      <c r="I225" t="n" s="17">
        <v>184.0</v>
      </c>
      <c r="J225" s="23">
        <f>I225/F225</f>
      </c>
      <c r="K225" t="n" s="17">
        <v>208.0</v>
      </c>
      <c r="L225" s="23">
        <f>K225/F225</f>
      </c>
      <c r="M225" t="n" s="16">
        <v>11.0</v>
      </c>
      <c r="N225" t="n" s="16">
        <v>196.0</v>
      </c>
      <c r="O225" s="21">
        <f>N225/F225</f>
      </c>
      <c r="P225" t="n" s="16">
        <v>189.0</v>
      </c>
      <c r="Q225" s="21">
        <f>P225/F225</f>
      </c>
      <c r="R225" t="n" s="17">
        <v>14.0</v>
      </c>
      <c r="S225" t="n" s="17">
        <v>174.0</v>
      </c>
      <c r="T225" s="23">
        <f>S225/F225</f>
      </c>
      <c r="U225" t="n" s="17">
        <v>208.0</v>
      </c>
      <c r="V225" s="23">
        <f>U225/F225</f>
      </c>
    </row>
    <row r="226">
      <c r="A226" t="s" s="16">
        <v>231</v>
      </c>
      <c r="B226" t="n" s="16">
        <v>333.0</v>
      </c>
      <c r="C226" t="n" s="16">
        <v>185.0</v>
      </c>
      <c r="D226" t="n" s="16">
        <v>0.0</v>
      </c>
      <c r="E226" t="n" s="16">
        <v>0.0</v>
      </c>
      <c r="F226" t="n" s="16">
        <v>185.0</v>
      </c>
      <c r="G226" s="21">
        <f>C226/B226</f>
      </c>
      <c r="H226" t="n" s="17">
        <v>3.0</v>
      </c>
      <c r="I226" t="n" s="17">
        <v>62.0</v>
      </c>
      <c r="J226" s="23">
        <f>I226/F226</f>
      </c>
      <c r="K226" t="n" s="17">
        <v>120.0</v>
      </c>
      <c r="L226" s="23">
        <f>K226/F226</f>
      </c>
      <c r="M226" t="n" s="16">
        <v>6.0</v>
      </c>
      <c r="N226" t="n" s="16">
        <v>109.0</v>
      </c>
      <c r="O226" s="21">
        <f>N226/F226</f>
      </c>
      <c r="P226" t="n" s="16">
        <v>70.0</v>
      </c>
      <c r="Q226" s="21">
        <f>P226/F226</f>
      </c>
      <c r="R226" t="n" s="17">
        <v>9.0</v>
      </c>
      <c r="S226" t="n" s="17">
        <v>61.0</v>
      </c>
      <c r="T226" s="23">
        <f>S226/F226</f>
      </c>
      <c r="U226" t="n" s="17">
        <v>115.0</v>
      </c>
      <c r="V226" s="23">
        <f>U226/F226</f>
      </c>
    </row>
    <row r="227">
      <c r="A227" t="s" s="16">
        <v>232</v>
      </c>
      <c r="B227" t="n" s="16">
        <v>2860.0</v>
      </c>
      <c r="C227" t="n" s="16">
        <v>1668.0</v>
      </c>
      <c r="D227" t="n" s="16">
        <v>90.0</v>
      </c>
      <c r="E227" t="n" s="16">
        <v>0.0</v>
      </c>
      <c r="F227" t="n" s="16">
        <v>1668.0</v>
      </c>
      <c r="G227" s="21">
        <f>C227/B227</f>
      </c>
      <c r="H227" t="n" s="17">
        <v>17.0</v>
      </c>
      <c r="I227" t="n" s="17">
        <v>668.0</v>
      </c>
      <c r="J227" s="23">
        <f>I227/F227</f>
      </c>
      <c r="K227" t="n" s="17">
        <v>893.0</v>
      </c>
      <c r="L227" s="23">
        <f>K227/F227</f>
      </c>
      <c r="M227" t="n" s="16">
        <v>43.0</v>
      </c>
      <c r="N227" t="n" s="16">
        <v>822.0</v>
      </c>
      <c r="O227" s="21">
        <f>N227/F227</f>
      </c>
      <c r="P227" t="n" s="16">
        <v>713.0</v>
      </c>
      <c r="Q227" s="21">
        <f>P227/F227</f>
      </c>
      <c r="R227" t="n" s="17">
        <v>63.0</v>
      </c>
      <c r="S227" t="n" s="17">
        <v>630.0</v>
      </c>
      <c r="T227" s="23">
        <f>S227/F227</f>
      </c>
      <c r="U227" t="n" s="17">
        <v>885.0</v>
      </c>
      <c r="V227" s="23">
        <f>U227/F227</f>
      </c>
    </row>
    <row r="228">
      <c r="A228" t="s" s="16">
        <v>233</v>
      </c>
      <c r="B228" t="n" s="16">
        <v>762.0</v>
      </c>
      <c r="C228" t="n" s="16">
        <v>429.0</v>
      </c>
      <c r="D228" t="n" s="16">
        <v>28.0</v>
      </c>
      <c r="E228" t="n" s="16">
        <v>0.0</v>
      </c>
      <c r="F228" t="n" s="16">
        <v>429.0</v>
      </c>
      <c r="G228" s="21">
        <f>C228/B228</f>
      </c>
      <c r="H228" t="n" s="17">
        <v>11.0</v>
      </c>
      <c r="I228" t="n" s="17">
        <v>163.0</v>
      </c>
      <c r="J228" s="23">
        <f>I228/F228</f>
      </c>
      <c r="K228" t="n" s="17">
        <v>227.0</v>
      </c>
      <c r="L228" s="23">
        <f>K228/F228</f>
      </c>
      <c r="M228" t="n" s="16">
        <v>7.0</v>
      </c>
      <c r="N228" t="n" s="16">
        <v>206.0</v>
      </c>
      <c r="O228" s="21">
        <f>N228/F228</f>
      </c>
      <c r="P228" t="n" s="16">
        <v>188.0</v>
      </c>
      <c r="Q228" s="21">
        <f>P228/F228</f>
      </c>
      <c r="R228" t="n" s="17">
        <v>12.0</v>
      </c>
      <c r="S228" t="n" s="17">
        <v>167.0</v>
      </c>
      <c r="T228" s="23">
        <f>S228/F228</f>
      </c>
      <c r="U228" t="n" s="17">
        <v>222.0</v>
      </c>
      <c r="V228" s="23">
        <f>U228/F228</f>
      </c>
    </row>
    <row r="229">
      <c r="A229" t="s" s="16">
        <v>234</v>
      </c>
      <c r="B229" t="n" s="16">
        <v>309.0</v>
      </c>
      <c r="C229" t="n" s="16">
        <v>158.0</v>
      </c>
      <c r="D229" t="n" s="16">
        <v>3.0</v>
      </c>
      <c r="E229" t="n" s="16">
        <v>0.0</v>
      </c>
      <c r="F229" t="n" s="16">
        <v>158.0</v>
      </c>
      <c r="G229" s="21">
        <f>C229/B229</f>
      </c>
      <c r="H229" t="n" s="17">
        <v>3.0</v>
      </c>
      <c r="I229" t="n" s="17">
        <v>62.0</v>
      </c>
      <c r="J229" s="23">
        <f>I229/F229</f>
      </c>
      <c r="K229" t="n" s="17">
        <v>90.0</v>
      </c>
      <c r="L229" s="23">
        <f>K229/F229</f>
      </c>
      <c r="M229" t="n" s="16">
        <v>2.0</v>
      </c>
      <c r="N229" t="n" s="16">
        <v>85.0</v>
      </c>
      <c r="O229" s="21">
        <f>N229/F229</f>
      </c>
      <c r="P229" t="n" s="16">
        <v>68.0</v>
      </c>
      <c r="Q229" s="21">
        <f>P229/F229</f>
      </c>
      <c r="R229" t="n" s="17">
        <v>5.0</v>
      </c>
      <c r="S229" t="n" s="17">
        <v>62.0</v>
      </c>
      <c r="T229" s="23">
        <f>S229/F229</f>
      </c>
      <c r="U229" t="n" s="17">
        <v>88.0</v>
      </c>
      <c r="V229" s="23">
        <f>U229/F229</f>
      </c>
    </row>
    <row r="230">
      <c r="A230" t="s" s="16">
        <v>235</v>
      </c>
      <c r="B230" t="n" s="16">
        <v>1480.0</v>
      </c>
      <c r="C230" t="n" s="16">
        <v>737.0</v>
      </c>
      <c r="D230" t="n" s="16">
        <v>16.0</v>
      </c>
      <c r="E230" t="n" s="16">
        <v>0.0</v>
      </c>
      <c r="F230" t="n" s="16">
        <v>737.0</v>
      </c>
      <c r="G230" s="21">
        <f>C230/B230</f>
      </c>
      <c r="H230" t="n" s="17">
        <v>6.0</v>
      </c>
      <c r="I230" t="n" s="17">
        <v>375.0</v>
      </c>
      <c r="J230" s="23">
        <f>I230/F230</f>
      </c>
      <c r="K230" t="n" s="17">
        <v>340.0</v>
      </c>
      <c r="L230" s="23">
        <f>K230/F230</f>
      </c>
      <c r="M230" t="n" s="16">
        <v>19.0</v>
      </c>
      <c r="N230" t="n" s="16">
        <v>356.0</v>
      </c>
      <c r="O230" s="21">
        <f>N230/F230</f>
      </c>
      <c r="P230" t="n" s="16">
        <v>346.0</v>
      </c>
      <c r="Q230" s="21">
        <f>P230/F230</f>
      </c>
      <c r="R230" t="n" s="17">
        <v>32.0</v>
      </c>
      <c r="S230" t="n" s="17">
        <v>342.0</v>
      </c>
      <c r="T230" s="23">
        <f>S230/F230</f>
      </c>
      <c r="U230" t="n" s="17">
        <v>347.0</v>
      </c>
      <c r="V230" s="23">
        <f>U230/F230</f>
      </c>
    </row>
    <row r="231">
      <c r="A231" t="s" s="16">
        <v>236</v>
      </c>
      <c r="B231" t="n" s="16">
        <v>605.0</v>
      </c>
      <c r="C231" t="n" s="16">
        <v>353.0</v>
      </c>
      <c r="D231" t="n" s="16">
        <v>10.0</v>
      </c>
      <c r="E231" t="n" s="16">
        <v>0.0</v>
      </c>
      <c r="F231" t="n" s="16">
        <v>353.0</v>
      </c>
      <c r="G231" s="21">
        <f>C231/B231</f>
      </c>
      <c r="H231" t="n" s="17">
        <v>1.0</v>
      </c>
      <c r="I231" t="n" s="17">
        <v>112.0</v>
      </c>
      <c r="J231" s="23">
        <f>I231/F231</f>
      </c>
      <c r="K231" t="n" s="17">
        <v>230.0</v>
      </c>
      <c r="L231" s="23">
        <f>K231/F231</f>
      </c>
      <c r="M231" t="n" s="16">
        <v>5.0</v>
      </c>
      <c r="N231" t="n" s="16">
        <v>212.0</v>
      </c>
      <c r="O231" s="21">
        <f>N231/F231</f>
      </c>
      <c r="P231" t="n" s="16">
        <v>126.0</v>
      </c>
      <c r="Q231" s="21">
        <f>P231/F231</f>
      </c>
      <c r="R231" t="n" s="17">
        <v>11.0</v>
      </c>
      <c r="S231" t="n" s="17">
        <v>107.0</v>
      </c>
      <c r="T231" s="23">
        <f>S231/F231</f>
      </c>
      <c r="U231" t="n" s="17">
        <v>225.0</v>
      </c>
      <c r="V231" s="23">
        <f>U231/F231</f>
      </c>
    </row>
    <row r="232">
      <c r="A232" t="s" s="16">
        <v>237</v>
      </c>
      <c r="B232" t="n" s="16">
        <v>1758.0</v>
      </c>
      <c r="C232" t="n" s="16">
        <v>1008.0</v>
      </c>
      <c r="D232" t="n" s="16">
        <v>62.0</v>
      </c>
      <c r="E232" t="n" s="16">
        <v>4.0</v>
      </c>
      <c r="F232" t="n" s="16">
        <v>1004.0</v>
      </c>
      <c r="G232" s="21">
        <f>C232/B232</f>
      </c>
      <c r="H232" t="n" s="17">
        <v>11.0</v>
      </c>
      <c r="I232" t="n" s="17">
        <v>414.0</v>
      </c>
      <c r="J232" s="23">
        <f>I232/F232</f>
      </c>
      <c r="K232" t="n" s="17">
        <v>517.0</v>
      </c>
      <c r="L232" s="23">
        <f>K232/F232</f>
      </c>
      <c r="M232" t="n" s="16">
        <v>24.0</v>
      </c>
      <c r="N232" t="n" s="16">
        <v>460.0</v>
      </c>
      <c r="O232" s="21">
        <f>N232/F232</f>
      </c>
      <c r="P232" t="n" s="16">
        <v>458.0</v>
      </c>
      <c r="Q232" s="21">
        <f>P232/F232</f>
      </c>
      <c r="R232" t="n" s="17">
        <v>39.0</v>
      </c>
      <c r="S232" t="n" s="17">
        <v>388.0</v>
      </c>
      <c r="T232" s="23">
        <f>S232/F232</f>
      </c>
      <c r="U232" t="n" s="17">
        <v>515.0</v>
      </c>
      <c r="V232" s="23">
        <f>U232/F232</f>
      </c>
    </row>
    <row r="233">
      <c r="A233" t="s" s="16">
        <v>238</v>
      </c>
      <c r="B233" t="n" s="16">
        <v>538.0</v>
      </c>
      <c r="C233" t="n" s="16">
        <v>355.0</v>
      </c>
      <c r="D233" t="n" s="16">
        <v>17.0</v>
      </c>
      <c r="E233" t="n" s="16">
        <v>0.0</v>
      </c>
      <c r="F233" t="n" s="16">
        <v>355.0</v>
      </c>
      <c r="G233" s="21">
        <f>C233/B233</f>
      </c>
      <c r="H233" t="n" s="17">
        <v>5.0</v>
      </c>
      <c r="I233" t="n" s="17">
        <v>125.0</v>
      </c>
      <c r="J233" s="23">
        <f>I233/F233</f>
      </c>
      <c r="K233" t="n" s="17">
        <v>208.0</v>
      </c>
      <c r="L233" s="23">
        <f>K233/F233</f>
      </c>
      <c r="M233" t="n" s="16">
        <v>12.0</v>
      </c>
      <c r="N233" t="n" s="16">
        <v>190.0</v>
      </c>
      <c r="O233" s="21">
        <f>N233/F233</f>
      </c>
      <c r="P233" t="n" s="16">
        <v>136.0</v>
      </c>
      <c r="Q233" s="21">
        <f>P233/F233</f>
      </c>
      <c r="R233" t="n" s="17">
        <v>13.0</v>
      </c>
      <c r="S233" t="n" s="17">
        <v>119.0</v>
      </c>
      <c r="T233" s="23">
        <f>S233/F233</f>
      </c>
      <c r="U233" t="n" s="17">
        <v>206.0</v>
      </c>
      <c r="V233" s="23">
        <f>U233/F233</f>
      </c>
    </row>
    <row r="234">
      <c r="A234" t="s" s="16">
        <v>239</v>
      </c>
      <c r="B234" t="n" s="16">
        <v>466.0</v>
      </c>
      <c r="C234" t="n" s="16">
        <v>294.0</v>
      </c>
      <c r="D234" t="n" s="16">
        <v>4.0</v>
      </c>
      <c r="E234" t="n" s="16">
        <v>1.0</v>
      </c>
      <c r="F234" t="n" s="16">
        <v>293.0</v>
      </c>
      <c r="G234" s="21">
        <f>C234/B234</f>
      </c>
      <c r="H234" t="n" s="17">
        <v>1.0</v>
      </c>
      <c r="I234" t="n" s="17">
        <v>122.0</v>
      </c>
      <c r="J234" s="23">
        <f>I234/F234</f>
      </c>
      <c r="K234" t="n" s="17">
        <v>166.0</v>
      </c>
      <c r="L234" s="23">
        <f>K234/F234</f>
      </c>
      <c r="M234" t="n" s="16">
        <v>3.0</v>
      </c>
      <c r="N234" t="n" s="16">
        <v>171.0</v>
      </c>
      <c r="O234" s="21">
        <f>N234/F234</f>
      </c>
      <c r="P234" t="n" s="16">
        <v>115.0</v>
      </c>
      <c r="Q234" s="21">
        <f>P234/F234</f>
      </c>
      <c r="R234" t="n" s="17">
        <v>7.0</v>
      </c>
      <c r="S234" t="n" s="17">
        <v>106.0</v>
      </c>
      <c r="T234" s="23">
        <f>S234/F234</f>
      </c>
      <c r="U234" t="n" s="17">
        <v>176.0</v>
      </c>
      <c r="V234" s="23">
        <f>U234/F234</f>
      </c>
    </row>
    <row r="235">
      <c r="A235" t="s" s="16">
        <v>240</v>
      </c>
      <c r="B235" t="n" s="16">
        <v>44.0</v>
      </c>
      <c r="C235" t="n" s="16">
        <v>34.0</v>
      </c>
      <c r="D235" t="n" s="16">
        <v>0.0</v>
      </c>
      <c r="E235" t="n" s="16">
        <v>0.0</v>
      </c>
      <c r="F235" t="n" s="16">
        <v>34.0</v>
      </c>
      <c r="G235" s="21">
        <f>C235/B235</f>
      </c>
      <c r="H235" t="n" s="17">
        <v>0.0</v>
      </c>
      <c r="I235" t="n" s="17">
        <v>17.0</v>
      </c>
      <c r="J235" s="23">
        <f>I235/F235</f>
      </c>
      <c r="K235" t="n" s="17">
        <v>17.0</v>
      </c>
      <c r="L235" s="23">
        <f>K235/F235</f>
      </c>
      <c r="M235" t="n" s="16">
        <v>0.0</v>
      </c>
      <c r="N235" t="n" s="16">
        <v>18.0</v>
      </c>
      <c r="O235" s="21">
        <f>N235/F235</f>
      </c>
      <c r="P235" t="n" s="16">
        <v>16.0</v>
      </c>
      <c r="Q235" s="21">
        <f>P235/F235</f>
      </c>
      <c r="R235" t="n" s="17">
        <v>0.0</v>
      </c>
      <c r="S235" t="n" s="17">
        <v>16.0</v>
      </c>
      <c r="T235" s="23">
        <f>S235/F235</f>
      </c>
      <c r="U235" t="n" s="17">
        <v>18.0</v>
      </c>
      <c r="V235" s="23">
        <f>U235/F235</f>
      </c>
    </row>
    <row r="236">
      <c r="A236" t="s" s="16">
        <v>241</v>
      </c>
      <c r="B236" t="n" s="16">
        <v>212.0</v>
      </c>
      <c r="C236" t="n" s="16">
        <v>134.0</v>
      </c>
      <c r="D236" t="n" s="16">
        <v>2.0</v>
      </c>
      <c r="E236" t="n" s="16">
        <v>1.0</v>
      </c>
      <c r="F236" t="n" s="16">
        <v>133.0</v>
      </c>
      <c r="G236" s="21">
        <f>C236/B236</f>
      </c>
      <c r="H236" t="n" s="17">
        <v>1.0</v>
      </c>
      <c r="I236" t="n" s="17">
        <v>78.0</v>
      </c>
      <c r="J236" s="23">
        <f>I236/F236</f>
      </c>
      <c r="K236" t="n" s="17">
        <v>52.0</v>
      </c>
      <c r="L236" s="23">
        <f>K236/F236</f>
      </c>
      <c r="M236" t="n" s="16">
        <v>5.0</v>
      </c>
      <c r="N236" t="n" s="16">
        <v>48.0</v>
      </c>
      <c r="O236" s="21">
        <f>N236/F236</f>
      </c>
      <c r="P236" t="n" s="16">
        <v>78.0</v>
      </c>
      <c r="Q236" s="21">
        <f>P236/F236</f>
      </c>
      <c r="R236" t="n" s="17">
        <v>4.0</v>
      </c>
      <c r="S236" t="n" s="17">
        <v>74.0</v>
      </c>
      <c r="T236" s="23">
        <f>S236/F236</f>
      </c>
      <c r="U236" t="n" s="17">
        <v>53.0</v>
      </c>
      <c r="V236" s="23">
        <f>U236/F236</f>
      </c>
    </row>
    <row r="237">
      <c r="A237" t="s" s="16">
        <v>242</v>
      </c>
      <c r="B237" t="n" s="16">
        <v>218.0</v>
      </c>
      <c r="C237" t="n" s="16">
        <v>133.0</v>
      </c>
      <c r="D237" t="n" s="16">
        <v>0.0</v>
      </c>
      <c r="E237" t="n" s="16">
        <v>0.0</v>
      </c>
      <c r="F237" t="n" s="16">
        <v>133.0</v>
      </c>
      <c r="G237" s="21">
        <f>C237/B237</f>
      </c>
      <c r="H237" t="n" s="17">
        <v>8.0</v>
      </c>
      <c r="I237" t="n" s="17">
        <v>58.0</v>
      </c>
      <c r="J237" s="23">
        <f>I237/F237</f>
      </c>
      <c r="K237" t="n" s="17">
        <v>67.0</v>
      </c>
      <c r="L237" s="23">
        <f>K237/F237</f>
      </c>
      <c r="M237" t="n" s="16">
        <v>13.0</v>
      </c>
      <c r="N237" t="n" s="16">
        <v>55.0</v>
      </c>
      <c r="O237" s="21">
        <f>N237/F237</f>
      </c>
      <c r="P237" t="n" s="16">
        <v>65.0</v>
      </c>
      <c r="Q237" s="21">
        <f>P237/F237</f>
      </c>
      <c r="R237" t="n" s="17">
        <v>17.0</v>
      </c>
      <c r="S237" t="n" s="17">
        <v>52.0</v>
      </c>
      <c r="T237" s="23">
        <f>S237/F237</f>
      </c>
      <c r="U237" t="n" s="17">
        <v>64.0</v>
      </c>
      <c r="V237" s="23">
        <f>U237/F237</f>
      </c>
    </row>
    <row r="238">
      <c r="A238" t="s" s="16">
        <v>243</v>
      </c>
      <c r="B238" t="n" s="16">
        <v>337.0</v>
      </c>
      <c r="C238" t="n" s="16">
        <v>165.0</v>
      </c>
      <c r="D238" t="n" s="16">
        <v>0.0</v>
      </c>
      <c r="E238" t="n" s="16">
        <v>0.0</v>
      </c>
      <c r="F238" t="n" s="16">
        <v>165.0</v>
      </c>
      <c r="G238" s="21">
        <f>C238/B238</f>
      </c>
      <c r="H238" t="n" s="17">
        <v>2.0</v>
      </c>
      <c r="I238" t="n" s="17">
        <v>71.0</v>
      </c>
      <c r="J238" s="23">
        <f>I238/F238</f>
      </c>
      <c r="K238" t="n" s="17">
        <v>92.0</v>
      </c>
      <c r="L238" s="23">
        <f>K238/F238</f>
      </c>
      <c r="M238" t="n" s="16">
        <v>4.0</v>
      </c>
      <c r="N238" t="n" s="16">
        <v>95.0</v>
      </c>
      <c r="O238" s="21">
        <f>N238/F238</f>
      </c>
      <c r="P238" t="n" s="16">
        <v>66.0</v>
      </c>
      <c r="Q238" s="21">
        <f>P238/F238</f>
      </c>
      <c r="R238" t="n" s="17">
        <v>11.0</v>
      </c>
      <c r="S238" t="n" s="17">
        <v>62.0</v>
      </c>
      <c r="T238" s="23">
        <f>S238/F238</f>
      </c>
      <c r="U238" t="n" s="17">
        <v>92.0</v>
      </c>
      <c r="V238" s="23">
        <f>U238/F238</f>
      </c>
    </row>
    <row r="239">
      <c r="A239" t="s" s="16">
        <v>244</v>
      </c>
      <c r="B239" t="n" s="16">
        <v>649.0</v>
      </c>
      <c r="C239" t="n" s="16">
        <v>393.0</v>
      </c>
      <c r="D239" t="n" s="16">
        <v>8.0</v>
      </c>
      <c r="E239" t="n" s="16">
        <v>4.0</v>
      </c>
      <c r="F239" t="n" s="16">
        <v>389.0</v>
      </c>
      <c r="G239" s="21">
        <f>C239/B239</f>
      </c>
      <c r="H239" t="n" s="17">
        <v>0.0</v>
      </c>
      <c r="I239" t="n" s="17">
        <v>139.0</v>
      </c>
      <c r="J239" s="23">
        <f>I239/F239</f>
      </c>
      <c r="K239" t="n" s="17">
        <v>242.0</v>
      </c>
      <c r="L239" s="23">
        <f>K239/F239</f>
      </c>
      <c r="M239" t="n" s="16">
        <v>5.0</v>
      </c>
      <c r="N239" t="n" s="16">
        <v>230.0</v>
      </c>
      <c r="O239" s="21">
        <f>N239/F239</f>
      </c>
      <c r="P239" t="n" s="16">
        <v>146.0</v>
      </c>
      <c r="Q239" s="21">
        <f>P239/F239</f>
      </c>
      <c r="R239" t="n" s="17">
        <v>11.0</v>
      </c>
      <c r="S239" t="n" s="17">
        <v>138.0</v>
      </c>
      <c r="T239" s="23">
        <f>S239/F239</f>
      </c>
      <c r="U239" t="n" s="17">
        <v>232.0</v>
      </c>
      <c r="V239" s="23">
        <f>U239/F239</f>
      </c>
    </row>
    <row r="240">
      <c r="A240" t="s" s="16">
        <v>245</v>
      </c>
      <c r="B240" t="n" s="16">
        <v>9220.0</v>
      </c>
      <c r="C240" t="n" s="16">
        <v>5179.0</v>
      </c>
      <c r="D240" t="n" s="16">
        <v>279.0</v>
      </c>
      <c r="E240" t="n" s="16">
        <v>5.0</v>
      </c>
      <c r="F240" t="n" s="16">
        <v>5174.0</v>
      </c>
      <c r="G240" s="21">
        <f>C240/B240</f>
      </c>
      <c r="H240" t="n" s="17">
        <v>70.0</v>
      </c>
      <c r="I240" t="n" s="17">
        <v>2516.0</v>
      </c>
      <c r="J240" s="23">
        <f>I240/F240</f>
      </c>
      <c r="K240" t="n" s="17">
        <v>2309.0</v>
      </c>
      <c r="L240" s="23">
        <f>K240/F240</f>
      </c>
      <c r="M240" t="n" s="16">
        <v>101.0</v>
      </c>
      <c r="N240" t="n" s="16">
        <v>2265.0</v>
      </c>
      <c r="O240" s="21">
        <f>N240/F240</f>
      </c>
      <c r="P240" t="n" s="16">
        <v>2529.0</v>
      </c>
      <c r="Q240" s="21">
        <f>P240/F240</f>
      </c>
      <c r="R240" t="n" s="17">
        <v>177.0</v>
      </c>
      <c r="S240" t="n" s="17">
        <v>2378.0</v>
      </c>
      <c r="T240" s="23">
        <f>S240/F240</f>
      </c>
      <c r="U240" t="n" s="17">
        <v>2340.0</v>
      </c>
      <c r="V240" s="23">
        <f>U240/F240</f>
      </c>
    </row>
    <row r="241">
      <c r="A241" t="s" s="16">
        <v>246</v>
      </c>
      <c r="B241" t="n" s="16">
        <v>342.0</v>
      </c>
      <c r="C241" t="n" s="16">
        <v>188.0</v>
      </c>
      <c r="D241" t="n" s="16">
        <v>0.0</v>
      </c>
      <c r="E241" t="n" s="16">
        <v>1.0</v>
      </c>
      <c r="F241" t="n" s="16">
        <v>187.0</v>
      </c>
      <c r="G241" s="21">
        <f>C241/B241</f>
      </c>
      <c r="H241" t="n" s="17">
        <v>4.0</v>
      </c>
      <c r="I241" t="n" s="17">
        <v>94.0</v>
      </c>
      <c r="J241" s="23">
        <f>I241/F241</f>
      </c>
      <c r="K241" t="n" s="17">
        <v>89.0</v>
      </c>
      <c r="L241" s="23">
        <f>K241/F241</f>
      </c>
      <c r="M241" t="n" s="16">
        <v>7.0</v>
      </c>
      <c r="N241" t="n" s="16">
        <v>85.0</v>
      </c>
      <c r="O241" s="21">
        <f>N241/F241</f>
      </c>
      <c r="P241" t="n" s="16">
        <v>95.0</v>
      </c>
      <c r="Q241" s="21">
        <f>P241/F241</f>
      </c>
      <c r="R241" t="n" s="17">
        <v>6.0</v>
      </c>
      <c r="S241" t="n" s="17">
        <v>86.0</v>
      </c>
      <c r="T241" s="23">
        <f>S241/F241</f>
      </c>
      <c r="U241" t="n" s="17">
        <v>95.0</v>
      </c>
      <c r="V241" s="23">
        <f>U241/F241</f>
      </c>
    </row>
    <row r="242">
      <c r="A242" t="s" s="16">
        <v>247</v>
      </c>
      <c r="B242" t="n" s="16">
        <v>526.0</v>
      </c>
      <c r="C242" t="n" s="16">
        <v>291.0</v>
      </c>
      <c r="D242" t="n" s="16">
        <v>23.0</v>
      </c>
      <c r="E242" t="n" s="16">
        <v>0.0</v>
      </c>
      <c r="F242" t="n" s="16">
        <v>291.0</v>
      </c>
      <c r="G242" s="21">
        <f>C242/B242</f>
      </c>
      <c r="H242" t="n" s="17">
        <v>6.0</v>
      </c>
      <c r="I242" t="n" s="17">
        <v>105.0</v>
      </c>
      <c r="J242" s="23">
        <f>I242/F242</f>
      </c>
      <c r="K242" t="n" s="17">
        <v>157.0</v>
      </c>
      <c r="L242" s="23">
        <f>K242/F242</f>
      </c>
      <c r="M242" t="n" s="16">
        <v>6.0</v>
      </c>
      <c r="N242" t="n" s="16">
        <v>142.0</v>
      </c>
      <c r="O242" s="21">
        <f>N242/F242</f>
      </c>
      <c r="P242" t="n" s="16">
        <v>120.0</v>
      </c>
      <c r="Q242" s="21">
        <f>P242/F242</f>
      </c>
      <c r="R242" t="n" s="17">
        <v>15.0</v>
      </c>
      <c r="S242" t="n" s="17">
        <v>99.0</v>
      </c>
      <c r="T242" s="23">
        <f>S242/F242</f>
      </c>
      <c r="U242" t="n" s="17">
        <v>154.0</v>
      </c>
      <c r="V242" s="23">
        <f>U242/F242</f>
      </c>
    </row>
    <row r="243">
      <c r="A243" t="s" s="16">
        <v>248</v>
      </c>
      <c r="B243" t="n" s="16">
        <v>2952.0</v>
      </c>
      <c r="C243" t="n" s="16">
        <v>1683.0</v>
      </c>
      <c r="D243" t="n" s="16">
        <v>110.0</v>
      </c>
      <c r="E243" t="n" s="16">
        <v>7.0</v>
      </c>
      <c r="F243" t="n" s="16">
        <v>1676.0</v>
      </c>
      <c r="G243" s="21">
        <f>C243/B243</f>
      </c>
      <c r="H243" t="n" s="17">
        <v>30.0</v>
      </c>
      <c r="I243" t="n" s="17">
        <v>789.0</v>
      </c>
      <c r="J243" s="23">
        <f>I243/F243</f>
      </c>
      <c r="K243" t="n" s="17">
        <v>747.0</v>
      </c>
      <c r="L243" s="23">
        <f>K243/F243</f>
      </c>
      <c r="M243" t="n" s="16">
        <v>34.0</v>
      </c>
      <c r="N243" t="n" s="16">
        <v>760.0</v>
      </c>
      <c r="O243" s="21">
        <f>N243/F243</f>
      </c>
      <c r="P243" t="n" s="16">
        <v>772.0</v>
      </c>
      <c r="Q243" s="21">
        <f>P243/F243</f>
      </c>
      <c r="R243" t="n" s="17">
        <v>59.0</v>
      </c>
      <c r="S243" t="n" s="17">
        <v>709.0</v>
      </c>
      <c r="T243" s="23">
        <f>S243/F243</f>
      </c>
      <c r="U243" t="n" s="17">
        <v>798.0</v>
      </c>
      <c r="V243" s="23">
        <f>U243/F243</f>
      </c>
    </row>
    <row r="244">
      <c r="A244" t="s" s="16">
        <v>249</v>
      </c>
      <c r="B244" t="n" s="16">
        <v>318.0</v>
      </c>
      <c r="C244" t="n" s="16">
        <v>192.0</v>
      </c>
      <c r="D244" t="n" s="16">
        <v>0.0</v>
      </c>
      <c r="E244" t="n" s="16">
        <v>0.0</v>
      </c>
      <c r="F244" t="n" s="16">
        <v>192.0</v>
      </c>
      <c r="G244" s="21">
        <f>C244/B244</f>
      </c>
      <c r="H244" t="n" s="17">
        <v>9.0</v>
      </c>
      <c r="I244" t="n" s="17">
        <v>76.0</v>
      </c>
      <c r="J244" s="23">
        <f>I244/F244</f>
      </c>
      <c r="K244" t="n" s="17">
        <v>107.0</v>
      </c>
      <c r="L244" s="23">
        <f>K244/F244</f>
      </c>
      <c r="M244" t="n" s="16">
        <v>9.0</v>
      </c>
      <c r="N244" t="n" s="16">
        <v>100.0</v>
      </c>
      <c r="O244" s="21">
        <f>N244/F244</f>
      </c>
      <c r="P244" t="n" s="16">
        <v>83.0</v>
      </c>
      <c r="Q244" s="21">
        <f>P244/F244</f>
      </c>
      <c r="R244" t="n" s="17">
        <v>17.0</v>
      </c>
      <c r="S244" t="n" s="17">
        <v>66.0</v>
      </c>
      <c r="T244" s="23">
        <f>S244/F244</f>
      </c>
      <c r="U244" t="n" s="17">
        <v>109.0</v>
      </c>
      <c r="V244" s="23">
        <f>U244/F244</f>
      </c>
    </row>
    <row r="245">
      <c r="A245" t="s" s="16">
        <v>250</v>
      </c>
      <c r="B245" t="n" s="16">
        <v>480.0</v>
      </c>
      <c r="C245" t="n" s="16">
        <v>287.0</v>
      </c>
      <c r="D245" t="n" s="16">
        <v>0.0</v>
      </c>
      <c r="E245" t="n" s="16">
        <v>0.0</v>
      </c>
      <c r="F245" t="n" s="16">
        <v>287.0</v>
      </c>
      <c r="G245" s="21">
        <f>C245/B245</f>
      </c>
      <c r="H245" t="n" s="17">
        <v>9.0</v>
      </c>
      <c r="I245" t="n" s="17">
        <v>108.0</v>
      </c>
      <c r="J245" s="23">
        <f>I245/F245</f>
      </c>
      <c r="K245" t="n" s="17">
        <v>170.0</v>
      </c>
      <c r="L245" s="23">
        <f>K245/F245</f>
      </c>
      <c r="M245" t="n" s="16">
        <v>16.0</v>
      </c>
      <c r="N245" t="n" s="16">
        <v>159.0</v>
      </c>
      <c r="O245" s="21">
        <f>N245/F245</f>
      </c>
      <c r="P245" t="n" s="16">
        <v>112.0</v>
      </c>
      <c r="Q245" s="21">
        <f>P245/F245</f>
      </c>
      <c r="R245" t="n" s="17">
        <v>23.0</v>
      </c>
      <c r="S245" t="n" s="17">
        <v>94.0</v>
      </c>
      <c r="T245" s="23">
        <f>S245/F245</f>
      </c>
      <c r="U245" t="n" s="17">
        <v>170.0</v>
      </c>
      <c r="V245" s="23">
        <f>U245/F245</f>
      </c>
    </row>
    <row r="246">
      <c r="A246" t="s" s="16">
        <v>251</v>
      </c>
      <c r="B246" t="n" s="16">
        <v>286.0</v>
      </c>
      <c r="C246" t="n" s="16">
        <v>183.0</v>
      </c>
      <c r="D246" t="n" s="16">
        <v>11.0</v>
      </c>
      <c r="E246" t="n" s="16">
        <v>0.0</v>
      </c>
      <c r="F246" t="n" s="16">
        <v>183.0</v>
      </c>
      <c r="G246" s="21">
        <f>C246/B246</f>
      </c>
      <c r="H246" t="n" s="17">
        <v>1.0</v>
      </c>
      <c r="I246" t="n" s="17">
        <v>88.0</v>
      </c>
      <c r="J246" s="23">
        <f>I246/F246</f>
      </c>
      <c r="K246" t="n" s="17">
        <v>83.0</v>
      </c>
      <c r="L246" s="23">
        <f>K246/F246</f>
      </c>
      <c r="M246" t="n" s="16">
        <v>3.0</v>
      </c>
      <c r="N246" t="n" s="16">
        <v>84.0</v>
      </c>
      <c r="O246" s="21">
        <f>N246/F246</f>
      </c>
      <c r="P246" t="n" s="16">
        <v>85.0</v>
      </c>
      <c r="Q246" s="21">
        <f>P246/F246</f>
      </c>
      <c r="R246" t="n" s="17">
        <v>6.0</v>
      </c>
      <c r="S246" t="n" s="17">
        <v>64.0</v>
      </c>
      <c r="T246" s="23">
        <f>S246/F246</f>
      </c>
      <c r="U246" t="n" s="17">
        <v>102.0</v>
      </c>
      <c r="V246" s="23">
        <f>U246/F246</f>
      </c>
    </row>
    <row r="247">
      <c r="A247" t="s" s="16">
        <v>252</v>
      </c>
      <c r="B247" t="n" s="16">
        <v>3034.0</v>
      </c>
      <c r="C247" t="n" s="16">
        <v>1773.0</v>
      </c>
      <c r="D247" t="n" s="16">
        <v>84.0</v>
      </c>
      <c r="E247" t="n" s="16">
        <v>2.0</v>
      </c>
      <c r="F247" t="n" s="16">
        <v>1771.0</v>
      </c>
      <c r="G247" s="21">
        <f>C247/B247</f>
      </c>
      <c r="H247" t="n" s="17">
        <v>25.0</v>
      </c>
      <c r="I247" t="n" s="17">
        <v>686.0</v>
      </c>
      <c r="J247" s="23">
        <f>I247/F247</f>
      </c>
      <c r="K247" t="n" s="17">
        <v>976.0</v>
      </c>
      <c r="L247" s="23">
        <f>K247/F247</f>
      </c>
      <c r="M247" t="n" s="16">
        <v>42.0</v>
      </c>
      <c r="N247" t="n" s="16">
        <v>930.0</v>
      </c>
      <c r="O247" s="21">
        <f>N247/F247</f>
      </c>
      <c r="P247" t="n" s="16">
        <v>715.0</v>
      </c>
      <c r="Q247" s="21">
        <f>P247/F247</f>
      </c>
      <c r="R247" t="n" s="17">
        <v>60.0</v>
      </c>
      <c r="S247" t="n" s="17">
        <v>648.0</v>
      </c>
      <c r="T247" s="23">
        <f>S247/F247</f>
      </c>
      <c r="U247" t="n" s="17">
        <v>979.0</v>
      </c>
      <c r="V247" s="23">
        <f>U247/F247</f>
      </c>
    </row>
    <row r="248">
      <c r="A248" t="s" s="16">
        <v>253</v>
      </c>
      <c r="B248" t="n" s="16">
        <v>258.0</v>
      </c>
      <c r="C248" t="n" s="16">
        <v>139.0</v>
      </c>
      <c r="D248" t="n" s="16">
        <v>4.0</v>
      </c>
      <c r="E248" t="n" s="16">
        <v>3.0</v>
      </c>
      <c r="F248" t="n" s="16">
        <v>136.0</v>
      </c>
      <c r="G248" s="21">
        <f>C248/B248</f>
      </c>
      <c r="H248" t="n" s="17">
        <v>0.0</v>
      </c>
      <c r="I248" t="n" s="17">
        <v>67.0</v>
      </c>
      <c r="J248" s="23">
        <f>I248/F248</f>
      </c>
      <c r="K248" t="n" s="17">
        <v>65.0</v>
      </c>
      <c r="L248" s="23">
        <f>K248/F248</f>
      </c>
      <c r="M248" t="n" s="16">
        <v>1.0</v>
      </c>
      <c r="N248" t="n" s="16">
        <v>64.0</v>
      </c>
      <c r="O248" s="21">
        <f>N248/F248</f>
      </c>
      <c r="P248" t="n" s="16">
        <v>67.0</v>
      </c>
      <c r="Q248" s="21">
        <f>P248/F248</f>
      </c>
      <c r="R248" t="n" s="17">
        <v>7.0</v>
      </c>
      <c r="S248" t="n" s="17">
        <v>57.0</v>
      </c>
      <c r="T248" s="23">
        <f>S248/F248</f>
      </c>
      <c r="U248" t="n" s="17">
        <v>68.0</v>
      </c>
      <c r="V248" s="23">
        <f>U248/F248</f>
      </c>
    </row>
    <row r="249">
      <c r="A249" t="s" s="16">
        <v>254</v>
      </c>
      <c r="B249" t="n" s="16">
        <v>330.0</v>
      </c>
      <c r="C249" t="n" s="16">
        <v>185.0</v>
      </c>
      <c r="D249" t="n" s="16">
        <v>4.0</v>
      </c>
      <c r="E249" t="n" s="16">
        <v>0.0</v>
      </c>
      <c r="F249" t="n" s="16">
        <v>185.0</v>
      </c>
      <c r="G249" s="21">
        <f>C249/B249</f>
      </c>
      <c r="H249" t="n" s="17">
        <v>3.0</v>
      </c>
      <c r="I249" t="n" s="17">
        <v>60.0</v>
      </c>
      <c r="J249" s="23">
        <f>I249/F249</f>
      </c>
      <c r="K249" t="n" s="17">
        <v>118.0</v>
      </c>
      <c r="L249" s="23">
        <f>K249/F249</f>
      </c>
      <c r="M249" t="n" s="16">
        <v>4.0</v>
      </c>
      <c r="N249" t="n" s="16">
        <v>111.0</v>
      </c>
      <c r="O249" s="21">
        <f>N249/F249</f>
      </c>
      <c r="P249" t="n" s="16">
        <v>66.0</v>
      </c>
      <c r="Q249" s="21">
        <f>P249/F249</f>
      </c>
      <c r="R249" t="n" s="17">
        <v>10.0</v>
      </c>
      <c r="S249" t="n" s="17">
        <v>59.0</v>
      </c>
      <c r="T249" s="23">
        <f>S249/F249</f>
      </c>
      <c r="U249" t="n" s="17">
        <v>112.0</v>
      </c>
      <c r="V249" s="23">
        <f>U249/F249</f>
      </c>
    </row>
    <row r="250">
      <c r="A250" t="s" s="16">
        <v>255</v>
      </c>
      <c r="B250" t="n" s="16">
        <v>1302.0</v>
      </c>
      <c r="C250" t="n" s="16">
        <v>613.0</v>
      </c>
      <c r="D250" t="n" s="16">
        <v>37.0</v>
      </c>
      <c r="E250" t="n" s="16">
        <v>5.0</v>
      </c>
      <c r="F250" t="n" s="16">
        <v>608.0</v>
      </c>
      <c r="G250" s="21">
        <f>C250/B250</f>
      </c>
      <c r="H250" t="n" s="17">
        <v>3.0</v>
      </c>
      <c r="I250" t="n" s="17">
        <v>258.0</v>
      </c>
      <c r="J250" s="23">
        <f>I250/F250</f>
      </c>
      <c r="K250" t="n" s="17">
        <v>310.0</v>
      </c>
      <c r="L250" s="23">
        <f>K250/F250</f>
      </c>
      <c r="M250" t="n" s="16">
        <v>6.0</v>
      </c>
      <c r="N250" t="n" s="16">
        <v>289.0</v>
      </c>
      <c r="O250" s="21">
        <f>N250/F250</f>
      </c>
      <c r="P250" t="n" s="16">
        <v>276.0</v>
      </c>
      <c r="Q250" s="21">
        <f>P250/F250</f>
      </c>
      <c r="R250" t="n" s="17">
        <v>28.0</v>
      </c>
      <c r="S250" t="n" s="17">
        <v>241.0</v>
      </c>
      <c r="T250" s="23">
        <f>S250/F250</f>
      </c>
      <c r="U250" t="n" s="17">
        <v>302.0</v>
      </c>
      <c r="V250" s="23">
        <f>U250/F250</f>
      </c>
    </row>
    <row r="251">
      <c r="A251" t="s" s="16">
        <v>256</v>
      </c>
      <c r="B251" t="n" s="16">
        <v>128.0</v>
      </c>
      <c r="C251" t="n" s="16">
        <v>99.0</v>
      </c>
      <c r="D251" t="n" s="16">
        <v>6.0</v>
      </c>
      <c r="E251" t="n" s="16">
        <v>0.0</v>
      </c>
      <c r="F251" t="n" s="16">
        <v>99.0</v>
      </c>
      <c r="G251" s="21">
        <f>C251/B251</f>
      </c>
      <c r="H251" t="n" s="17">
        <v>2.0</v>
      </c>
      <c r="I251" t="n" s="17">
        <v>41.0</v>
      </c>
      <c r="J251" s="23">
        <f>I251/F251</f>
      </c>
      <c r="K251" t="n" s="17">
        <v>50.0</v>
      </c>
      <c r="L251" s="23">
        <f>K251/F251</f>
      </c>
      <c r="M251" t="n" s="16">
        <v>1.0</v>
      </c>
      <c r="N251" t="n" s="16">
        <v>54.0</v>
      </c>
      <c r="O251" s="21">
        <f>N251/F251</f>
      </c>
      <c r="P251" t="n" s="16">
        <v>38.0</v>
      </c>
      <c r="Q251" s="21">
        <f>P251/F251</f>
      </c>
      <c r="R251" t="n" s="17">
        <v>2.0</v>
      </c>
      <c r="S251" t="n" s="17">
        <v>39.0</v>
      </c>
      <c r="T251" s="23">
        <f>S251/F251</f>
      </c>
      <c r="U251" t="n" s="17">
        <v>52.0</v>
      </c>
      <c r="V251" s="23">
        <f>U251/F251</f>
      </c>
    </row>
    <row r="252">
      <c r="A252" t="s" s="16">
        <v>257</v>
      </c>
      <c r="B252" t="n" s="16">
        <v>383.0</v>
      </c>
      <c r="C252" t="n" s="16">
        <v>243.0</v>
      </c>
      <c r="D252" t="n" s="16">
        <v>0.0</v>
      </c>
      <c r="E252" t="n" s="16">
        <v>0.0</v>
      </c>
      <c r="F252" t="n" s="16">
        <v>243.0</v>
      </c>
      <c r="G252" s="21">
        <f>C252/B252</f>
      </c>
      <c r="H252" t="n" s="17">
        <v>3.0</v>
      </c>
      <c r="I252" t="n" s="17">
        <v>115.0</v>
      </c>
      <c r="J252" s="23">
        <f>I252/F252</f>
      </c>
      <c r="K252" t="n" s="17">
        <v>125.0</v>
      </c>
      <c r="L252" s="23">
        <f>K252/F252</f>
      </c>
      <c r="M252" t="n" s="16">
        <v>5.0</v>
      </c>
      <c r="N252" t="n" s="16">
        <v>123.0</v>
      </c>
      <c r="O252" s="21">
        <f>N252/F252</f>
      </c>
      <c r="P252" t="n" s="16">
        <v>115.0</v>
      </c>
      <c r="Q252" s="21">
        <f>P252/F252</f>
      </c>
      <c r="R252" t="n" s="17">
        <v>11.0</v>
      </c>
      <c r="S252" t="n" s="17">
        <v>104.0</v>
      </c>
      <c r="T252" s="23">
        <f>S252/F252</f>
      </c>
      <c r="U252" t="n" s="17">
        <v>128.0</v>
      </c>
      <c r="V252" s="23">
        <f>U252/F252</f>
      </c>
    </row>
    <row r="253">
      <c r="A253" t="s" s="16">
        <v>258</v>
      </c>
      <c r="B253" t="n" s="16">
        <v>573.0</v>
      </c>
      <c r="C253" t="n" s="16">
        <v>377.0</v>
      </c>
      <c r="D253" t="n" s="16">
        <v>14.0</v>
      </c>
      <c r="E253" t="n" s="16">
        <v>3.0</v>
      </c>
      <c r="F253" t="n" s="16">
        <v>374.0</v>
      </c>
      <c r="G253" s="21">
        <f>C253/B253</f>
      </c>
      <c r="H253" t="n" s="17">
        <v>3.0</v>
      </c>
      <c r="I253" t="n" s="17">
        <v>114.0</v>
      </c>
      <c r="J253" s="23">
        <f>I253/F253</f>
      </c>
      <c r="K253" t="n" s="17">
        <v>243.0</v>
      </c>
      <c r="L253" s="23">
        <f>K253/F253</f>
      </c>
      <c r="M253" t="n" s="16">
        <v>4.0</v>
      </c>
      <c r="N253" t="n" s="16">
        <v>219.0</v>
      </c>
      <c r="O253" s="21">
        <f>N253/F253</f>
      </c>
      <c r="P253" t="n" s="16">
        <v>137.0</v>
      </c>
      <c r="Q253" s="21">
        <f>P253/F253</f>
      </c>
      <c r="R253" t="n" s="17">
        <v>12.0</v>
      </c>
      <c r="S253" t="n" s="17">
        <v>107.0</v>
      </c>
      <c r="T253" s="23">
        <f>S253/F253</f>
      </c>
      <c r="U253" t="n" s="17">
        <v>241.0</v>
      </c>
      <c r="V253" s="23">
        <f>U253/F253</f>
      </c>
    </row>
    <row r="254">
      <c r="A254" t="s" s="16">
        <v>259</v>
      </c>
      <c r="B254" t="n" s="16">
        <v>357.0</v>
      </c>
      <c r="C254" t="n" s="16">
        <v>207.0</v>
      </c>
      <c r="D254" t="n" s="16">
        <v>0.0</v>
      </c>
      <c r="E254" t="n" s="16">
        <v>0.0</v>
      </c>
      <c r="F254" t="n" s="16">
        <v>207.0</v>
      </c>
      <c r="G254" s="21">
        <f>C254/B254</f>
      </c>
      <c r="H254" t="n" s="17">
        <v>13.0</v>
      </c>
      <c r="I254" t="n" s="17">
        <v>66.0</v>
      </c>
      <c r="J254" s="23">
        <f>I254/F254</f>
      </c>
      <c r="K254" t="n" s="17">
        <v>128.0</v>
      </c>
      <c r="L254" s="23">
        <f>K254/F254</f>
      </c>
      <c r="M254" t="n" s="16">
        <v>6.0</v>
      </c>
      <c r="N254" t="n" s="16">
        <v>123.0</v>
      </c>
      <c r="O254" s="21">
        <f>N254/F254</f>
      </c>
      <c r="P254" t="n" s="16">
        <v>78.0</v>
      </c>
      <c r="Q254" s="21">
        <f>P254/F254</f>
      </c>
      <c r="R254" t="n" s="17">
        <v>19.0</v>
      </c>
      <c r="S254" t="n" s="17">
        <v>64.0</v>
      </c>
      <c r="T254" s="23">
        <f>S254/F254</f>
      </c>
      <c r="U254" t="n" s="17">
        <v>124.0</v>
      </c>
      <c r="V254" s="23">
        <f>U254/F254</f>
      </c>
    </row>
    <row r="255">
      <c r="A255" t="s" s="16">
        <v>260</v>
      </c>
      <c r="B255" t="n" s="16">
        <v>884.0</v>
      </c>
      <c r="C255" t="n" s="16">
        <v>540.0</v>
      </c>
      <c r="D255" t="n" s="16">
        <v>0.0</v>
      </c>
      <c r="E255" t="n" s="16">
        <v>0.0</v>
      </c>
      <c r="F255" t="n" s="16">
        <v>540.0</v>
      </c>
      <c r="G255" s="21">
        <f>C255/B255</f>
      </c>
      <c r="H255" t="n" s="17">
        <v>26.0</v>
      </c>
      <c r="I255" t="n" s="17">
        <v>176.0</v>
      </c>
      <c r="J255" s="23">
        <f>I255/F255</f>
      </c>
      <c r="K255" t="n" s="17">
        <v>338.0</v>
      </c>
      <c r="L255" s="23">
        <f>K255/F255</f>
      </c>
      <c r="M255" t="n" s="16">
        <v>30.0</v>
      </c>
      <c r="N255" t="n" s="16">
        <v>276.0</v>
      </c>
      <c r="O255" s="21">
        <f>N255/F255</f>
      </c>
      <c r="P255" t="n" s="16">
        <v>234.0</v>
      </c>
      <c r="Q255" s="21">
        <f>P255/F255</f>
      </c>
      <c r="R255" t="n" s="17">
        <v>39.0</v>
      </c>
      <c r="S255" t="n" s="17">
        <v>170.0</v>
      </c>
      <c r="T255" s="23">
        <f>S255/F255</f>
      </c>
      <c r="U255" t="n" s="17">
        <v>331.0</v>
      </c>
      <c r="V255" s="23">
        <f>U255/F255</f>
      </c>
    </row>
    <row r="256">
      <c r="A256" t="s" s="18">
        <v>204</v>
      </c>
      <c r="B256" s="19">
        <f>SUM(B200:B255)</f>
      </c>
      <c r="C256" s="19">
        <f>SUM(C200:C255)</f>
      </c>
      <c r="D256" s="19">
        <f>SUM(D200:D255)</f>
      </c>
      <c r="E256" s="19">
        <f>SUM(E200:E255)</f>
      </c>
      <c r="F256" s="19">
        <f>SUM(F200:F255)</f>
      </c>
      <c r="G256" s="22">
        <f>C256/B256</f>
      </c>
      <c r="H256" s="19">
        <f>SUM(H200:H255)</f>
      </c>
      <c r="I256" s="19">
        <f>SUM(I200:I255)</f>
      </c>
      <c r="J256" s="22">
        <f>I256/F256</f>
      </c>
      <c r="K256" s="19">
        <f>SUM(K200:K255)</f>
      </c>
      <c r="L256" s="22">
        <f>K256/F256</f>
      </c>
      <c r="M256" s="19">
        <f>SUM(M200:M255)</f>
      </c>
      <c r="N256" s="19">
        <f>SUM(N200:N255)</f>
      </c>
      <c r="O256" s="22">
        <f>N256/F256</f>
      </c>
      <c r="P256" s="19">
        <f>SUM(P200:P255)</f>
      </c>
      <c r="Q256" s="22">
        <f>P256/F256</f>
      </c>
      <c r="R256" s="19">
        <f>SUM(R200:R255)</f>
      </c>
      <c r="S256" s="19">
        <f>SUM(S200:S255)</f>
      </c>
      <c r="T256" s="22">
        <f>S256/F256</f>
      </c>
      <c r="U256" s="19">
        <f>SUM(U200:U255)</f>
      </c>
      <c r="V256" s="22">
        <f>U256/F256</f>
      </c>
    </row>
    <row r="257"/>
    <row r="258">
      <c r="A258" t="s" s="15">
        <v>261</v>
      </c>
    </row>
    <row r="259">
      <c r="A259" t="s" s="16">
        <v>262</v>
      </c>
      <c r="B259" t="n" s="16">
        <v>178.0</v>
      </c>
      <c r="C259" t="n" s="16">
        <v>88.0</v>
      </c>
      <c r="D259" t="n" s="16">
        <v>2.0</v>
      </c>
      <c r="E259" t="n" s="16">
        <v>0.0</v>
      </c>
      <c r="F259" t="n" s="16">
        <v>88.0</v>
      </c>
      <c r="G259" s="21">
        <f>C259/B259</f>
      </c>
      <c r="H259" t="n" s="17">
        <v>0.0</v>
      </c>
      <c r="I259" t="n" s="17">
        <v>27.0</v>
      </c>
      <c r="J259" s="23">
        <f>I259/F259</f>
      </c>
      <c r="K259" t="n" s="17">
        <v>59.0</v>
      </c>
      <c r="L259" s="23">
        <f>K259/F259</f>
      </c>
      <c r="M259" t="n" s="16">
        <v>2.0</v>
      </c>
      <c r="N259" t="n" s="16">
        <v>62.0</v>
      </c>
      <c r="O259" s="21">
        <f>N259/F259</f>
      </c>
      <c r="P259" t="n" s="16">
        <v>22.0</v>
      </c>
      <c r="Q259" s="21">
        <f>P259/F259</f>
      </c>
      <c r="R259" t="n" s="17">
        <v>2.0</v>
      </c>
      <c r="S259" t="n" s="17">
        <v>23.0</v>
      </c>
      <c r="T259" s="23">
        <f>S259/F259</f>
      </c>
      <c r="U259" t="n" s="17">
        <v>61.0</v>
      </c>
      <c r="V259" s="23">
        <f>U259/F259</f>
      </c>
    </row>
    <row r="260">
      <c r="A260" t="s" s="16">
        <v>263</v>
      </c>
      <c r="B260" t="n" s="16">
        <v>1708.0</v>
      </c>
      <c r="C260" t="n" s="16">
        <v>1071.0</v>
      </c>
      <c r="D260" t="n" s="16">
        <v>82.0</v>
      </c>
      <c r="E260" t="n" s="16">
        <v>0.0</v>
      </c>
      <c r="F260" t="n" s="16">
        <v>1071.0</v>
      </c>
      <c r="G260" s="21">
        <f>C260/B260</f>
      </c>
      <c r="H260" t="n" s="17">
        <v>21.0</v>
      </c>
      <c r="I260" t="n" s="17">
        <v>378.0</v>
      </c>
      <c r="J260" s="23">
        <f>I260/F260</f>
      </c>
      <c r="K260" t="n" s="17">
        <v>590.0</v>
      </c>
      <c r="L260" s="23">
        <f>K260/F260</f>
      </c>
      <c r="M260" t="n" s="16">
        <v>14.0</v>
      </c>
      <c r="N260" t="n" s="16">
        <v>554.0</v>
      </c>
      <c r="O260" s="21">
        <f>N260/F260</f>
      </c>
      <c r="P260" t="n" s="16">
        <v>421.0</v>
      </c>
      <c r="Q260" s="21">
        <f>P260/F260</f>
      </c>
      <c r="R260" t="n" s="17">
        <v>46.0</v>
      </c>
      <c r="S260" t="n" s="17">
        <v>354.0</v>
      </c>
      <c r="T260" s="23">
        <f>S260/F260</f>
      </c>
      <c r="U260" t="n" s="17">
        <v>589.0</v>
      </c>
      <c r="V260" s="23">
        <f>U260/F260</f>
      </c>
    </row>
    <row r="261">
      <c r="A261" t="s" s="16">
        <v>264</v>
      </c>
      <c r="B261" t="n" s="16">
        <v>878.0</v>
      </c>
      <c r="C261" t="n" s="16">
        <v>539.0</v>
      </c>
      <c r="D261" t="n" s="16">
        <v>34.0</v>
      </c>
      <c r="E261" t="n" s="16">
        <v>0.0</v>
      </c>
      <c r="F261" t="n" s="16">
        <v>539.0</v>
      </c>
      <c r="G261" s="21">
        <f>C261/B261</f>
      </c>
      <c r="H261" t="n" s="17">
        <v>11.0</v>
      </c>
      <c r="I261" t="n" s="17">
        <v>211.0</v>
      </c>
      <c r="J261" s="23">
        <f>I261/F261</f>
      </c>
      <c r="K261" t="n" s="17">
        <v>283.0</v>
      </c>
      <c r="L261" s="23">
        <f>K261/F261</f>
      </c>
      <c r="M261" t="n" s="16">
        <v>10.0</v>
      </c>
      <c r="N261" t="n" s="16">
        <v>282.0</v>
      </c>
      <c r="O261" s="21">
        <f>N261/F261</f>
      </c>
      <c r="P261" t="n" s="16">
        <v>213.0</v>
      </c>
      <c r="Q261" s="21">
        <f>P261/F261</f>
      </c>
      <c r="R261" t="n" s="17">
        <v>19.0</v>
      </c>
      <c r="S261" t="n" s="17">
        <v>196.0</v>
      </c>
      <c r="T261" s="23">
        <f>S261/F261</f>
      </c>
      <c r="U261" t="n" s="17">
        <v>290.0</v>
      </c>
      <c r="V261" s="23">
        <f>U261/F261</f>
      </c>
    </row>
    <row r="262">
      <c r="A262" t="s" s="16">
        <v>265</v>
      </c>
      <c r="B262" t="n" s="16">
        <v>1220.0</v>
      </c>
      <c r="C262" t="n" s="16">
        <v>674.0</v>
      </c>
      <c r="D262" t="n" s="16">
        <v>0.0</v>
      </c>
      <c r="E262" t="n" s="16">
        <v>4.0</v>
      </c>
      <c r="F262" t="n" s="16">
        <v>670.0</v>
      </c>
      <c r="G262" s="21">
        <f>C262/B262</f>
      </c>
      <c r="H262" t="n" s="17">
        <v>22.0</v>
      </c>
      <c r="I262" t="n" s="17">
        <v>263.0</v>
      </c>
      <c r="J262" s="23">
        <f>I262/F262</f>
      </c>
      <c r="K262" t="n" s="17">
        <v>385.0</v>
      </c>
      <c r="L262" s="23">
        <f>K262/F262</f>
      </c>
      <c r="M262" t="n" s="16">
        <v>22.0</v>
      </c>
      <c r="N262" t="n" s="16">
        <v>369.0</v>
      </c>
      <c r="O262" s="21">
        <f>N262/F262</f>
      </c>
      <c r="P262" t="n" s="16">
        <v>279.0</v>
      </c>
      <c r="Q262" s="21">
        <f>P262/F262</f>
      </c>
      <c r="R262" t="n" s="17">
        <v>32.0</v>
      </c>
      <c r="S262" t="n" s="17">
        <v>258.0</v>
      </c>
      <c r="T262" s="23">
        <f>S262/F262</f>
      </c>
      <c r="U262" t="n" s="17">
        <v>380.0</v>
      </c>
      <c r="V262" s="23">
        <f>U262/F262</f>
      </c>
    </row>
    <row r="263">
      <c r="A263" t="s" s="16">
        <v>266</v>
      </c>
      <c r="B263" t="n" s="16">
        <v>493.0</v>
      </c>
      <c r="C263" t="n" s="16">
        <v>305.0</v>
      </c>
      <c r="D263" t="n" s="16">
        <v>6.0</v>
      </c>
      <c r="E263" t="n" s="16">
        <v>0.0</v>
      </c>
      <c r="F263" t="n" s="16">
        <v>305.0</v>
      </c>
      <c r="G263" s="21">
        <f>C263/B263</f>
      </c>
      <c r="H263" t="n" s="17">
        <v>1.0</v>
      </c>
      <c r="I263" t="n" s="17">
        <v>117.0</v>
      </c>
      <c r="J263" s="23">
        <f>I263/F263</f>
      </c>
      <c r="K263" t="n" s="17">
        <v>181.0</v>
      </c>
      <c r="L263" s="23">
        <f>K263/F263</f>
      </c>
      <c r="M263" t="n" s="16">
        <v>2.0</v>
      </c>
      <c r="N263" t="n" s="16">
        <v>172.0</v>
      </c>
      <c r="O263" s="21">
        <f>N263/F263</f>
      </c>
      <c r="P263" t="n" s="16">
        <v>125.0</v>
      </c>
      <c r="Q263" s="21">
        <f>P263/F263</f>
      </c>
      <c r="R263" t="n" s="17">
        <v>6.0</v>
      </c>
      <c r="S263" t="n" s="17">
        <v>98.0</v>
      </c>
      <c r="T263" s="23">
        <f>S263/F263</f>
      </c>
      <c r="U263" t="n" s="17">
        <v>195.0</v>
      </c>
      <c r="V263" s="23">
        <f>U263/F263</f>
      </c>
    </row>
    <row r="264">
      <c r="A264" t="s" s="16">
        <v>267</v>
      </c>
      <c r="B264" t="n" s="16">
        <v>710.0</v>
      </c>
      <c r="C264" t="n" s="16">
        <v>423.0</v>
      </c>
      <c r="D264" t="n" s="16">
        <v>5.0</v>
      </c>
      <c r="E264" t="n" s="16">
        <v>0.0</v>
      </c>
      <c r="F264" t="n" s="16">
        <v>423.0</v>
      </c>
      <c r="G264" s="21">
        <f>C264/B264</f>
      </c>
      <c r="H264" t="n" s="17">
        <v>2.0</v>
      </c>
      <c r="I264" t="n" s="17">
        <v>187.0</v>
      </c>
      <c r="J264" s="23">
        <f>I264/F264</f>
      </c>
      <c r="K264" t="n" s="17">
        <v>229.0</v>
      </c>
      <c r="L264" s="23">
        <f>K264/F264</f>
      </c>
      <c r="M264" t="n" s="16">
        <v>7.0</v>
      </c>
      <c r="N264" t="n" s="16">
        <v>224.0</v>
      </c>
      <c r="O264" s="21">
        <f>N264/F264</f>
      </c>
      <c r="P264" t="n" s="16">
        <v>187.0</v>
      </c>
      <c r="Q264" s="21">
        <f>P264/F264</f>
      </c>
      <c r="R264" t="n" s="17">
        <v>8.0</v>
      </c>
      <c r="S264" t="n" s="17">
        <v>178.0</v>
      </c>
      <c r="T264" s="23">
        <f>S264/F264</f>
      </c>
      <c r="U264" t="n" s="17">
        <v>232.0</v>
      </c>
      <c r="V264" s="23">
        <f>U264/F264</f>
      </c>
    </row>
    <row r="265">
      <c r="A265" t="s" s="16">
        <v>268</v>
      </c>
      <c r="B265" t="n" s="16">
        <v>313.0</v>
      </c>
      <c r="C265" t="n" s="16">
        <v>195.0</v>
      </c>
      <c r="D265" t="n" s="16">
        <v>2.0</v>
      </c>
      <c r="E265" t="n" s="16">
        <v>16.0</v>
      </c>
      <c r="F265" t="n" s="16">
        <v>179.0</v>
      </c>
      <c r="G265" s="21">
        <f>C265/B265</f>
      </c>
      <c r="H265" t="n" s="17">
        <v>5.0</v>
      </c>
      <c r="I265" t="n" s="17">
        <v>65.0</v>
      </c>
      <c r="J265" s="23">
        <f>I265/F265</f>
      </c>
      <c r="K265" t="n" s="17">
        <v>107.0</v>
      </c>
      <c r="L265" s="23">
        <f>K265/F265</f>
      </c>
      <c r="M265" t="n" s="16">
        <v>5.0</v>
      </c>
      <c r="N265" t="n" s="16">
        <v>109.0</v>
      </c>
      <c r="O265" s="21">
        <f>N265/F265</f>
      </c>
      <c r="P265" t="n" s="16">
        <v>63.0</v>
      </c>
      <c r="Q265" s="21">
        <f>P265/F265</f>
      </c>
      <c r="R265" t="n" s="17">
        <v>6.0</v>
      </c>
      <c r="S265" t="n" s="17">
        <v>56.0</v>
      </c>
      <c r="T265" s="23">
        <f>S265/F265</f>
      </c>
      <c r="U265" t="n" s="17">
        <v>115.0</v>
      </c>
      <c r="V265" s="23">
        <f>U265/F265</f>
      </c>
    </row>
    <row r="266">
      <c r="A266" t="s" s="16">
        <v>269</v>
      </c>
      <c r="B266" t="n" s="16">
        <v>493.0</v>
      </c>
      <c r="C266" t="n" s="16">
        <v>295.0</v>
      </c>
      <c r="D266" t="n" s="16">
        <v>1.0</v>
      </c>
      <c r="E266" t="n" s="16">
        <v>0.0</v>
      </c>
      <c r="F266" t="n" s="16">
        <v>295.0</v>
      </c>
      <c r="G266" s="21">
        <f>C266/B266</f>
      </c>
      <c r="H266" t="n" s="17">
        <v>5.0</v>
      </c>
      <c r="I266" t="n" s="17">
        <v>116.0</v>
      </c>
      <c r="J266" s="23">
        <f>I266/F266</f>
      </c>
      <c r="K266" t="n" s="17">
        <v>173.0</v>
      </c>
      <c r="L266" s="23">
        <f>K266/F266</f>
      </c>
      <c r="M266" t="n" s="16">
        <v>5.0</v>
      </c>
      <c r="N266" t="n" s="16">
        <v>175.0</v>
      </c>
      <c r="O266" s="21">
        <f>N266/F266</f>
      </c>
      <c r="P266" t="n" s="16">
        <v>114.0</v>
      </c>
      <c r="Q266" s="21">
        <f>P266/F266</f>
      </c>
      <c r="R266" t="n" s="17">
        <v>18.0</v>
      </c>
      <c r="S266" t="n" s="17">
        <v>105.0</v>
      </c>
      <c r="T266" s="23">
        <f>S266/F266</f>
      </c>
      <c r="U266" t="n" s="17">
        <v>171.0</v>
      </c>
      <c r="V266" s="23">
        <f>U266/F266</f>
      </c>
    </row>
    <row r="267">
      <c r="A267" t="s" s="16">
        <v>270</v>
      </c>
      <c r="B267" t="n" s="16">
        <v>254.0</v>
      </c>
      <c r="C267" t="n" s="16">
        <v>151.0</v>
      </c>
      <c r="D267" t="n" s="16">
        <v>4.0</v>
      </c>
      <c r="E267" t="n" s="16">
        <v>0.0</v>
      </c>
      <c r="F267" t="n" s="16">
        <v>151.0</v>
      </c>
      <c r="G267" s="21">
        <f>C267/B267</f>
      </c>
      <c r="H267" t="n" s="17">
        <v>3.0</v>
      </c>
      <c r="I267" t="n" s="17">
        <v>54.0</v>
      </c>
      <c r="J267" s="23">
        <f>I267/F267</f>
      </c>
      <c r="K267" t="n" s="17">
        <v>90.0</v>
      </c>
      <c r="L267" s="23">
        <f>K267/F267</f>
      </c>
      <c r="M267" t="n" s="16">
        <v>0.0</v>
      </c>
      <c r="N267" t="n" s="16">
        <v>95.0</v>
      </c>
      <c r="O267" s="21">
        <f>N267/F267</f>
      </c>
      <c r="P267" t="n" s="16">
        <v>52.0</v>
      </c>
      <c r="Q267" s="21">
        <f>P267/F267</f>
      </c>
      <c r="R267" t="n" s="17">
        <v>6.0</v>
      </c>
      <c r="S267" t="n" s="17">
        <v>48.0</v>
      </c>
      <c r="T267" s="23">
        <f>S267/F267</f>
      </c>
      <c r="U267" t="n" s="17">
        <v>93.0</v>
      </c>
      <c r="V267" s="23">
        <f>U267/F267</f>
      </c>
    </row>
    <row r="268">
      <c r="A268" t="s" s="16">
        <v>271</v>
      </c>
      <c r="B268" t="n" s="16">
        <v>668.0</v>
      </c>
      <c r="C268" t="n" s="16">
        <v>354.0</v>
      </c>
      <c r="D268" t="n" s="16">
        <v>15.0</v>
      </c>
      <c r="E268" t="n" s="16">
        <v>5.0</v>
      </c>
      <c r="F268" t="n" s="16">
        <v>349.0</v>
      </c>
      <c r="G268" s="21">
        <f>C268/B268</f>
      </c>
      <c r="H268" t="n" s="17">
        <v>2.0</v>
      </c>
      <c r="I268" t="n" s="17">
        <v>106.0</v>
      </c>
      <c r="J268" s="23">
        <f>I268/F268</f>
      </c>
      <c r="K268" t="n" s="17">
        <v>226.0</v>
      </c>
      <c r="L268" s="23">
        <f>K268/F268</f>
      </c>
      <c r="M268" t="n" s="16">
        <v>6.0</v>
      </c>
      <c r="N268" t="n" s="16">
        <v>217.0</v>
      </c>
      <c r="O268" s="21">
        <f>N268/F268</f>
      </c>
      <c r="P268" t="n" s="16">
        <v>111.0</v>
      </c>
      <c r="Q268" s="21">
        <f>P268/F268</f>
      </c>
      <c r="R268" t="n" s="17">
        <v>16.0</v>
      </c>
      <c r="S268" t="n" s="17">
        <v>101.0</v>
      </c>
      <c r="T268" s="23">
        <f>S268/F268</f>
      </c>
      <c r="U268" t="n" s="17">
        <v>217.0</v>
      </c>
      <c r="V268" s="23">
        <f>U268/F268</f>
      </c>
    </row>
    <row r="269">
      <c r="A269" t="s" s="16">
        <v>272</v>
      </c>
      <c r="B269" t="n" s="16">
        <v>488.0</v>
      </c>
      <c r="C269" t="n" s="16">
        <v>302.0</v>
      </c>
      <c r="D269" t="n" s="16">
        <v>12.0</v>
      </c>
      <c r="E269" t="n" s="16">
        <v>1.0</v>
      </c>
      <c r="F269" t="n" s="16">
        <v>301.0</v>
      </c>
      <c r="G269" s="21">
        <f>C269/B269</f>
      </c>
      <c r="H269" t="n" s="17">
        <v>3.0</v>
      </c>
      <c r="I269" t="n" s="17">
        <v>95.0</v>
      </c>
      <c r="J269" s="23">
        <f>I269/F269</f>
      </c>
      <c r="K269" t="n" s="17">
        <v>191.0</v>
      </c>
      <c r="L269" s="23">
        <f>K269/F269</f>
      </c>
      <c r="M269" t="n" s="16">
        <v>5.0</v>
      </c>
      <c r="N269" t="n" s="16">
        <v>175.0</v>
      </c>
      <c r="O269" s="21">
        <f>N269/F269</f>
      </c>
      <c r="P269" t="n" s="16">
        <v>109.0</v>
      </c>
      <c r="Q269" s="21">
        <f>P269/F269</f>
      </c>
      <c r="R269" t="n" s="17">
        <v>12.0</v>
      </c>
      <c r="S269" t="n" s="17">
        <v>87.0</v>
      </c>
      <c r="T269" s="23">
        <f>S269/F269</f>
      </c>
      <c r="U269" t="n" s="17">
        <v>190.0</v>
      </c>
      <c r="V269" s="23">
        <f>U269/F269</f>
      </c>
    </row>
    <row r="270">
      <c r="A270" t="s" s="16">
        <v>273</v>
      </c>
      <c r="B270" t="n" s="16">
        <v>781.0</v>
      </c>
      <c r="C270" t="n" s="16">
        <v>497.0</v>
      </c>
      <c r="D270" t="n" s="16">
        <v>29.0</v>
      </c>
      <c r="E270" t="n" s="16">
        <v>1.0</v>
      </c>
      <c r="F270" t="n" s="16">
        <v>496.0</v>
      </c>
      <c r="G270" s="21">
        <f>C270/B270</f>
      </c>
      <c r="H270" t="n" s="17">
        <v>9.0</v>
      </c>
      <c r="I270" t="n" s="17">
        <v>154.0</v>
      </c>
      <c r="J270" s="23">
        <f>I270/F270</f>
      </c>
      <c r="K270" t="n" s="17">
        <v>304.0</v>
      </c>
      <c r="L270" s="23">
        <f>K270/F270</f>
      </c>
      <c r="M270" t="n" s="16">
        <v>8.0</v>
      </c>
      <c r="N270" t="n" s="16">
        <v>254.0</v>
      </c>
      <c r="O270" s="21">
        <f>N270/F270</f>
      </c>
      <c r="P270" t="n" s="16">
        <v>205.0</v>
      </c>
      <c r="Q270" s="21">
        <f>P270/F270</f>
      </c>
      <c r="R270" t="n" s="17">
        <v>22.0</v>
      </c>
      <c r="S270" t="n" s="17">
        <v>148.0</v>
      </c>
      <c r="T270" s="23">
        <f>S270/F270</f>
      </c>
      <c r="U270" t="n" s="17">
        <v>297.0</v>
      </c>
      <c r="V270" s="23">
        <f>U270/F270</f>
      </c>
    </row>
    <row r="271">
      <c r="A271" t="s" s="16">
        <v>274</v>
      </c>
      <c r="B271" t="n" s="16">
        <v>317.0</v>
      </c>
      <c r="C271" t="n" s="16">
        <v>182.0</v>
      </c>
      <c r="D271" t="n" s="16">
        <v>9.0</v>
      </c>
      <c r="E271" t="n" s="16">
        <v>0.0</v>
      </c>
      <c r="F271" t="n" s="16">
        <v>182.0</v>
      </c>
      <c r="G271" s="21">
        <f>C271/B271</f>
      </c>
      <c r="H271" t="n" s="17">
        <v>3.0</v>
      </c>
      <c r="I271" t="n" s="17">
        <v>65.0</v>
      </c>
      <c r="J271" s="23">
        <f>I271/F271</f>
      </c>
      <c r="K271" t="n" s="17">
        <v>105.0</v>
      </c>
      <c r="L271" s="23">
        <f>K271/F271</f>
      </c>
      <c r="M271" t="n" s="16">
        <v>4.0</v>
      </c>
      <c r="N271" t="n" s="16">
        <v>109.0</v>
      </c>
      <c r="O271" s="21">
        <f>N271/F271</f>
      </c>
      <c r="P271" t="n" s="16">
        <v>60.0</v>
      </c>
      <c r="Q271" s="21">
        <f>P271/F271</f>
      </c>
      <c r="R271" t="n" s="17">
        <v>6.0</v>
      </c>
      <c r="S271" t="n" s="17">
        <v>61.0</v>
      </c>
      <c r="T271" s="23">
        <f>S271/F271</f>
      </c>
      <c r="U271" t="n" s="17">
        <v>106.0</v>
      </c>
      <c r="V271" s="23">
        <f>U271/F271</f>
      </c>
    </row>
    <row r="272">
      <c r="A272" t="s" s="16">
        <v>275</v>
      </c>
      <c r="B272" t="n" s="16">
        <v>1468.0</v>
      </c>
      <c r="C272" t="n" s="16">
        <v>884.0</v>
      </c>
      <c r="D272" t="n" s="16">
        <v>23.0</v>
      </c>
      <c r="E272" t="n" s="16">
        <v>0.0</v>
      </c>
      <c r="F272" t="n" s="16">
        <v>884.0</v>
      </c>
      <c r="G272" s="21">
        <f>C272/B272</f>
      </c>
      <c r="H272" t="n" s="17">
        <v>6.0</v>
      </c>
      <c r="I272" t="n" s="17">
        <v>306.0</v>
      </c>
      <c r="J272" s="23">
        <f>I272/F272</f>
      </c>
      <c r="K272" t="n" s="17">
        <v>549.0</v>
      </c>
      <c r="L272" s="23">
        <f>K272/F272</f>
      </c>
      <c r="M272" t="n" s="16">
        <v>18.0</v>
      </c>
      <c r="N272" t="n" s="16">
        <v>518.0</v>
      </c>
      <c r="O272" s="21">
        <f>N272/F272</f>
      </c>
      <c r="P272" t="n" s="16">
        <v>325.0</v>
      </c>
      <c r="Q272" s="21">
        <f>P272/F272</f>
      </c>
      <c r="R272" t="n" s="17">
        <v>40.0</v>
      </c>
      <c r="S272" t="n" s="17">
        <v>276.0</v>
      </c>
      <c r="T272" s="23">
        <f>S272/F272</f>
      </c>
      <c r="U272" t="n" s="17">
        <v>545.0</v>
      </c>
      <c r="V272" s="23">
        <f>U272/F272</f>
      </c>
    </row>
    <row r="273">
      <c r="A273" t="s" s="16">
        <v>276</v>
      </c>
      <c r="B273" t="n" s="16">
        <v>2056.0</v>
      </c>
      <c r="C273" t="n" s="16">
        <v>1025.0</v>
      </c>
      <c r="D273" t="n" s="16">
        <v>50.0</v>
      </c>
      <c r="E273" t="n" s="16">
        <v>1.0</v>
      </c>
      <c r="F273" t="n" s="16">
        <v>1024.0</v>
      </c>
      <c r="G273" s="21">
        <f>C273/B273</f>
      </c>
      <c r="H273" t="n" s="17">
        <v>15.0</v>
      </c>
      <c r="I273" t="n" s="17">
        <v>337.0</v>
      </c>
      <c r="J273" s="23">
        <f>I273/F273</f>
      </c>
      <c r="K273" t="n" s="17">
        <v>622.0</v>
      </c>
      <c r="L273" s="23">
        <f>K273/F273</f>
      </c>
      <c r="M273" t="n" s="16">
        <v>18.0</v>
      </c>
      <c r="N273" t="n" s="16">
        <v>579.0</v>
      </c>
      <c r="O273" s="21">
        <f>N273/F273</f>
      </c>
      <c r="P273" t="n" s="16">
        <v>377.0</v>
      </c>
      <c r="Q273" s="21">
        <f>P273/F273</f>
      </c>
      <c r="R273" t="n" s="17">
        <v>30.0</v>
      </c>
      <c r="S273" t="n" s="17">
        <v>313.0</v>
      </c>
      <c r="T273" s="23">
        <f>S273/F273</f>
      </c>
      <c r="U273" t="n" s="17">
        <v>631.0</v>
      </c>
      <c r="V273" s="23">
        <f>U273/F273</f>
      </c>
    </row>
    <row r="274">
      <c r="A274" t="s" s="16">
        <v>277</v>
      </c>
      <c r="B274" t="n" s="16">
        <v>1360.0</v>
      </c>
      <c r="C274" t="n" s="16">
        <v>847.0</v>
      </c>
      <c r="D274" t="n" s="16">
        <v>0.0</v>
      </c>
      <c r="E274" t="n" s="16">
        <v>1.0</v>
      </c>
      <c r="F274" t="n" s="16">
        <v>846.0</v>
      </c>
      <c r="G274" s="21">
        <f>C274/B274</f>
      </c>
      <c r="H274" t="n" s="17">
        <v>20.0</v>
      </c>
      <c r="I274" t="n" s="17">
        <v>275.0</v>
      </c>
      <c r="J274" s="23">
        <f>I274/F274</f>
      </c>
      <c r="K274" t="n" s="17">
        <v>551.0</v>
      </c>
      <c r="L274" s="23">
        <f>K274/F274</f>
      </c>
      <c r="M274" t="n" s="16">
        <v>24.0</v>
      </c>
      <c r="N274" t="n" s="16">
        <v>496.0</v>
      </c>
      <c r="O274" s="21">
        <f>N274/F274</f>
      </c>
      <c r="P274" t="n" s="16">
        <v>326.0</v>
      </c>
      <c r="Q274" s="21">
        <f>P274/F274</f>
      </c>
      <c r="R274" t="n" s="17">
        <v>20.0</v>
      </c>
      <c r="S274" t="n" s="17">
        <v>324.0</v>
      </c>
      <c r="T274" s="23">
        <f>S274/F274</f>
      </c>
      <c r="U274" t="n" s="17">
        <v>502.0</v>
      </c>
      <c r="V274" s="23">
        <f>U274/F274</f>
      </c>
    </row>
    <row r="275">
      <c r="A275" t="s" s="16">
        <v>278</v>
      </c>
      <c r="B275" t="n" s="16">
        <v>757.0</v>
      </c>
      <c r="C275" t="n" s="16">
        <v>438.0</v>
      </c>
      <c r="D275" t="n" s="16">
        <v>12.0</v>
      </c>
      <c r="E275" t="n" s="16">
        <v>0.0</v>
      </c>
      <c r="F275" t="n" s="16">
        <v>438.0</v>
      </c>
      <c r="G275" s="21">
        <f>C275/B275</f>
      </c>
      <c r="H275" t="n" s="17">
        <v>2.0</v>
      </c>
      <c r="I275" t="n" s="17">
        <v>189.0</v>
      </c>
      <c r="J275" s="23">
        <f>I275/F275</f>
      </c>
      <c r="K275" t="n" s="17">
        <v>235.0</v>
      </c>
      <c r="L275" s="23">
        <f>K275/F275</f>
      </c>
      <c r="M275" t="n" s="16">
        <v>8.0</v>
      </c>
      <c r="N275" t="n" s="16">
        <v>232.0</v>
      </c>
      <c r="O275" s="21">
        <f>N275/F275</f>
      </c>
      <c r="P275" t="n" s="16">
        <v>186.0</v>
      </c>
      <c r="Q275" s="21">
        <f>P275/F275</f>
      </c>
      <c r="R275" t="n" s="17">
        <v>11.0</v>
      </c>
      <c r="S275" t="n" s="17">
        <v>164.0</v>
      </c>
      <c r="T275" s="23">
        <f>S275/F275</f>
      </c>
      <c r="U275" t="n" s="17">
        <v>251.0</v>
      </c>
      <c r="V275" s="23">
        <f>U275/F275</f>
      </c>
    </row>
    <row r="276">
      <c r="A276" t="s" s="16">
        <v>279</v>
      </c>
      <c r="B276" t="n" s="16">
        <v>695.0</v>
      </c>
      <c r="C276" t="n" s="16">
        <v>424.0</v>
      </c>
      <c r="D276" t="n" s="16">
        <v>10.0</v>
      </c>
      <c r="E276" t="n" s="16">
        <v>0.0</v>
      </c>
      <c r="F276" t="n" s="16">
        <v>424.0</v>
      </c>
      <c r="G276" s="21">
        <f>C276/B276</f>
      </c>
      <c r="H276" t="n" s="17">
        <v>4.0</v>
      </c>
      <c r="I276" t="n" s="17">
        <v>158.0</v>
      </c>
      <c r="J276" s="23">
        <f>I276/F276</f>
      </c>
      <c r="K276" t="n" s="17">
        <v>252.0</v>
      </c>
      <c r="L276" s="23">
        <f>K276/F276</f>
      </c>
      <c r="M276" t="n" s="16">
        <v>8.0</v>
      </c>
      <c r="N276" t="n" s="16">
        <v>248.0</v>
      </c>
      <c r="O276" s="21">
        <f>N276/F276</f>
      </c>
      <c r="P276" t="n" s="16">
        <v>158.0</v>
      </c>
      <c r="Q276" s="21">
        <f>P276/F276</f>
      </c>
      <c r="R276" t="n" s="17">
        <v>8.0</v>
      </c>
      <c r="S276" t="n" s="17">
        <v>248.0</v>
      </c>
      <c r="T276" s="23">
        <f>S276/F276</f>
      </c>
      <c r="U276" t="n" s="17">
        <v>158.0</v>
      </c>
      <c r="V276" s="23">
        <f>U276/F276</f>
      </c>
    </row>
    <row r="277">
      <c r="A277" t="s" s="16">
        <v>280</v>
      </c>
      <c r="B277" t="n" s="16">
        <v>367.0</v>
      </c>
      <c r="C277" t="n" s="16">
        <v>223.0</v>
      </c>
      <c r="D277" t="n" s="16">
        <v>4.0</v>
      </c>
      <c r="E277" t="n" s="16">
        <v>0.0</v>
      </c>
      <c r="F277" t="n" s="16">
        <v>223.0</v>
      </c>
      <c r="G277" s="21">
        <f>C277/B277</f>
      </c>
      <c r="H277" t="n" s="17">
        <v>1.0</v>
      </c>
      <c r="I277" t="n" s="17">
        <v>63.0</v>
      </c>
      <c r="J277" s="23">
        <f>I277/F277</f>
      </c>
      <c r="K277" t="n" s="17">
        <v>155.0</v>
      </c>
      <c r="L277" s="23">
        <f>K277/F277</f>
      </c>
      <c r="M277" t="n" s="16">
        <v>0.0</v>
      </c>
      <c r="N277" t="n" s="16">
        <v>139.0</v>
      </c>
      <c r="O277" s="21">
        <f>N277/F277</f>
      </c>
      <c r="P277" t="n" s="16">
        <v>80.0</v>
      </c>
      <c r="Q277" s="21">
        <f>P277/F277</f>
      </c>
      <c r="R277" t="n" s="17">
        <v>11.0</v>
      </c>
      <c r="S277" t="n" s="17">
        <v>55.0</v>
      </c>
      <c r="T277" s="23">
        <f>S277/F277</f>
      </c>
      <c r="U277" t="n" s="17">
        <v>153.0</v>
      </c>
      <c r="V277" s="23">
        <f>U277/F277</f>
      </c>
    </row>
    <row r="278">
      <c r="A278" t="s" s="16">
        <v>281</v>
      </c>
      <c r="B278" t="n" s="16">
        <v>436.0</v>
      </c>
      <c r="C278" t="n" s="16">
        <v>287.0</v>
      </c>
      <c r="D278" t="n" s="16">
        <v>0.0</v>
      </c>
      <c r="E278" t="n" s="16">
        <v>0.0</v>
      </c>
      <c r="F278" t="n" s="16">
        <v>287.0</v>
      </c>
      <c r="G278" s="21">
        <f>C278/B278</f>
      </c>
      <c r="H278" t="n" s="17">
        <v>9.0</v>
      </c>
      <c r="I278" t="n" s="17">
        <v>102.0</v>
      </c>
      <c r="J278" s="23">
        <f>I278/F278</f>
      </c>
      <c r="K278" t="n" s="17">
        <v>176.0</v>
      </c>
      <c r="L278" s="23">
        <f>K278/F278</f>
      </c>
      <c r="M278" t="n" s="16">
        <v>11.0</v>
      </c>
      <c r="N278" t="n" s="16">
        <v>168.0</v>
      </c>
      <c r="O278" s="21">
        <f>N278/F278</f>
      </c>
      <c r="P278" t="n" s="16">
        <v>108.0</v>
      </c>
      <c r="Q278" s="21">
        <f>P278/F278</f>
      </c>
      <c r="R278" t="n" s="17">
        <v>14.0</v>
      </c>
      <c r="S278" t="n" s="17">
        <v>86.0</v>
      </c>
      <c r="T278" s="23">
        <f>S278/F278</f>
      </c>
      <c r="U278" t="n" s="17">
        <v>187.0</v>
      </c>
      <c r="V278" s="23">
        <f>U278/F278</f>
      </c>
    </row>
    <row r="279">
      <c r="A279" t="s" s="16">
        <v>282</v>
      </c>
      <c r="B279" t="n" s="16">
        <v>966.0</v>
      </c>
      <c r="C279" t="n" s="16">
        <v>596.0</v>
      </c>
      <c r="D279" t="n" s="16">
        <v>44.0</v>
      </c>
      <c r="E279" t="n" s="16">
        <v>1.0</v>
      </c>
      <c r="F279" t="n" s="16">
        <v>595.0</v>
      </c>
      <c r="G279" s="21">
        <f>C279/B279</f>
      </c>
      <c r="H279" t="n" s="17">
        <v>6.0</v>
      </c>
      <c r="I279" t="n" s="17">
        <v>236.0</v>
      </c>
      <c r="J279" s="23">
        <f>I279/F279</f>
      </c>
      <c r="K279" t="n" s="17">
        <v>309.0</v>
      </c>
      <c r="L279" s="23">
        <f>K279/F279</f>
      </c>
      <c r="M279" t="n" s="16">
        <v>8.0</v>
      </c>
      <c r="N279" t="n" s="16">
        <v>306.0</v>
      </c>
      <c r="O279" s="21">
        <f>N279/F279</f>
      </c>
      <c r="P279" t="n" s="16">
        <v>237.0</v>
      </c>
      <c r="Q279" s="21">
        <f>P279/F279</f>
      </c>
      <c r="R279" t="n" s="17">
        <v>22.0</v>
      </c>
      <c r="S279" t="n" s="17">
        <v>222.0</v>
      </c>
      <c r="T279" s="23">
        <f>S279/F279</f>
      </c>
      <c r="U279" t="n" s="17">
        <v>307.0</v>
      </c>
      <c r="V279" s="23">
        <f>U279/F279</f>
      </c>
    </row>
    <row r="280">
      <c r="A280" t="s" s="16">
        <v>283</v>
      </c>
      <c r="B280" t="n" s="16">
        <v>1761.0</v>
      </c>
      <c r="C280" t="n" s="16">
        <v>1095.0</v>
      </c>
      <c r="D280" t="n" s="16">
        <v>63.0</v>
      </c>
      <c r="E280" t="n" s="16">
        <v>0.0</v>
      </c>
      <c r="F280" t="n" s="16">
        <v>1095.0</v>
      </c>
      <c r="G280" s="21">
        <f>C280/B280</f>
      </c>
      <c r="H280" t="n" s="17">
        <v>16.0</v>
      </c>
      <c r="I280" t="n" s="17">
        <v>373.0</v>
      </c>
      <c r="J280" s="23">
        <f>I280/F280</f>
      </c>
      <c r="K280" t="n" s="17">
        <v>643.0</v>
      </c>
      <c r="L280" s="23">
        <f>K280/F280</f>
      </c>
      <c r="M280" t="n" s="16">
        <v>20.0</v>
      </c>
      <c r="N280" t="n" s="16">
        <v>591.0</v>
      </c>
      <c r="O280" s="21">
        <f>N280/F280</f>
      </c>
      <c r="P280" t="n" s="16">
        <v>421.0</v>
      </c>
      <c r="Q280" s="21">
        <f>P280/F280</f>
      </c>
      <c r="R280" t="n" s="17">
        <v>39.0</v>
      </c>
      <c r="S280" t="n" s="17">
        <v>364.0</v>
      </c>
      <c r="T280" s="23">
        <f>S280/F280</f>
      </c>
      <c r="U280" t="n" s="17">
        <v>629.0</v>
      </c>
      <c r="V280" s="23">
        <f>U280/F280</f>
      </c>
    </row>
    <row r="281">
      <c r="A281" t="s" s="16">
        <v>284</v>
      </c>
      <c r="B281" t="n" s="16">
        <v>1190.0</v>
      </c>
      <c r="C281" t="n" s="16">
        <v>738.0</v>
      </c>
      <c r="D281" t="n" s="16">
        <v>36.0</v>
      </c>
      <c r="E281" t="n" s="16">
        <v>1.0</v>
      </c>
      <c r="F281" t="n" s="16">
        <v>737.0</v>
      </c>
      <c r="G281" s="21">
        <f>C281/B281</f>
      </c>
      <c r="H281" t="n" s="17">
        <v>0.0</v>
      </c>
      <c r="I281" t="n" s="17">
        <v>228.0</v>
      </c>
      <c r="J281" s="23">
        <f>I281/F281</f>
      </c>
      <c r="K281" t="n" s="17">
        <v>473.0</v>
      </c>
      <c r="L281" s="23">
        <f>K281/F281</f>
      </c>
      <c r="M281" t="n" s="16">
        <v>0.0</v>
      </c>
      <c r="N281" t="n" s="16">
        <v>429.0</v>
      </c>
      <c r="O281" s="21">
        <f>N281/F281</f>
      </c>
      <c r="P281" t="n" s="16">
        <v>272.0</v>
      </c>
      <c r="Q281" s="21">
        <f>P281/F281</f>
      </c>
      <c r="R281" t="n" s="17">
        <v>10.0</v>
      </c>
      <c r="S281" t="n" s="17">
        <v>213.0</v>
      </c>
      <c r="T281" s="23">
        <f>S281/F281</f>
      </c>
      <c r="U281" t="n" s="17">
        <v>478.0</v>
      </c>
      <c r="V281" s="23">
        <f>U281/F281</f>
      </c>
    </row>
    <row r="282">
      <c r="A282" t="s" s="16">
        <v>285</v>
      </c>
      <c r="B282" t="n" s="16">
        <v>845.0</v>
      </c>
      <c r="C282" t="n" s="16">
        <v>499.0</v>
      </c>
      <c r="D282" t="n" s="16">
        <v>8.0</v>
      </c>
      <c r="E282" t="n" s="16">
        <v>1.0</v>
      </c>
      <c r="F282" t="n" s="16">
        <v>498.0</v>
      </c>
      <c r="G282" s="21">
        <f>C282/B282</f>
      </c>
      <c r="H282" t="n" s="17">
        <v>2.0</v>
      </c>
      <c r="I282" t="n" s="17">
        <v>162.0</v>
      </c>
      <c r="J282" s="23">
        <f>I282/F282</f>
      </c>
      <c r="K282" t="n" s="17">
        <v>326.0</v>
      </c>
      <c r="L282" s="23">
        <f>K282/F282</f>
      </c>
      <c r="M282" t="n" s="16">
        <v>6.0</v>
      </c>
      <c r="N282" t="n" s="16">
        <v>298.0</v>
      </c>
      <c r="O282" s="21">
        <f>N282/F282</f>
      </c>
      <c r="P282" t="n" s="16">
        <v>186.0</v>
      </c>
      <c r="Q282" s="21">
        <f>P282/F282</f>
      </c>
      <c r="R282" t="n" s="17">
        <v>8.0</v>
      </c>
      <c r="S282" t="n" s="17">
        <v>149.0</v>
      </c>
      <c r="T282" s="23">
        <f>S282/F282</f>
      </c>
      <c r="U282" t="n" s="17">
        <v>333.0</v>
      </c>
      <c r="V282" s="23">
        <f>U282/F282</f>
      </c>
    </row>
    <row r="283">
      <c r="A283" t="s" s="16">
        <v>286</v>
      </c>
      <c r="B283" t="n" s="16">
        <v>788.0</v>
      </c>
      <c r="C283" t="n" s="16">
        <v>471.0</v>
      </c>
      <c r="D283" t="n" s="16">
        <v>9.0</v>
      </c>
      <c r="E283" t="n" s="16">
        <v>0.0</v>
      </c>
      <c r="F283" t="n" s="16">
        <v>471.0</v>
      </c>
      <c r="G283" s="21">
        <f>C283/B283</f>
      </c>
      <c r="H283" t="n" s="17">
        <v>18.0</v>
      </c>
      <c r="I283" t="n" s="17">
        <v>167.0</v>
      </c>
      <c r="J283" s="23">
        <f>I283/F283</f>
      </c>
      <c r="K283" t="n" s="17">
        <v>277.0</v>
      </c>
      <c r="L283" s="23">
        <f>K283/F283</f>
      </c>
      <c r="M283" t="n" s="16">
        <v>22.0</v>
      </c>
      <c r="N283" t="n" s="16">
        <v>264.0</v>
      </c>
      <c r="O283" s="21">
        <f>N283/F283</f>
      </c>
      <c r="P283" t="n" s="16">
        <v>176.0</v>
      </c>
      <c r="Q283" s="21">
        <f>P283/F283</f>
      </c>
      <c r="R283" t="n" s="17">
        <v>40.0</v>
      </c>
      <c r="S283" t="n" s="17">
        <v>144.0</v>
      </c>
      <c r="T283" s="23">
        <f>S283/F283</f>
      </c>
      <c r="U283" t="n" s="17">
        <v>278.0</v>
      </c>
      <c r="V283" s="23">
        <f>U283/F283</f>
      </c>
    </row>
    <row r="284">
      <c r="A284" t="s" s="16">
        <v>287</v>
      </c>
      <c r="B284" t="n" s="16">
        <v>697.0</v>
      </c>
      <c r="C284" t="n" s="16">
        <v>447.0</v>
      </c>
      <c r="D284" t="n" s="16">
        <v>0.0</v>
      </c>
      <c r="E284" t="n" s="16">
        <v>0.0</v>
      </c>
      <c r="F284" t="n" s="16">
        <v>447.0</v>
      </c>
      <c r="G284" s="21">
        <f>C284/B284</f>
      </c>
      <c r="H284" t="n" s="17">
        <v>13.0</v>
      </c>
      <c r="I284" t="n" s="17">
        <v>171.0</v>
      </c>
      <c r="J284" s="23">
        <f>I284/F284</f>
      </c>
      <c r="K284" t="n" s="17">
        <v>263.0</v>
      </c>
      <c r="L284" s="23">
        <f>K284/F284</f>
      </c>
      <c r="M284" t="n" s="16">
        <v>22.0</v>
      </c>
      <c r="N284" t="n" s="16">
        <v>234.0</v>
      </c>
      <c r="O284" s="21">
        <f>N284/F284</f>
      </c>
      <c r="P284" t="n" s="16">
        <v>191.0</v>
      </c>
      <c r="Q284" s="21">
        <f>P284/F284</f>
      </c>
      <c r="R284" t="n" s="17">
        <v>28.0</v>
      </c>
      <c r="S284" t="n" s="17">
        <v>151.0</v>
      </c>
      <c r="T284" s="23">
        <f>S284/F284</f>
      </c>
      <c r="U284" t="n" s="17">
        <v>268.0</v>
      </c>
      <c r="V284" s="23">
        <f>U284/F284</f>
      </c>
    </row>
    <row r="285">
      <c r="A285" t="s" s="16">
        <v>288</v>
      </c>
      <c r="B285" t="n" s="16">
        <v>7303.0</v>
      </c>
      <c r="C285" t="n" s="16">
        <v>4051.0</v>
      </c>
      <c r="D285" t="n" s="16">
        <v>292.0</v>
      </c>
      <c r="E285" t="n" s="16">
        <v>0.0</v>
      </c>
      <c r="F285" t="n" s="16">
        <v>4051.0</v>
      </c>
      <c r="G285" s="21">
        <f>C285/B285</f>
      </c>
      <c r="H285" t="n" s="17">
        <v>61.0</v>
      </c>
      <c r="I285" t="n" s="17">
        <v>1730.0</v>
      </c>
      <c r="J285" s="23">
        <f>I285/F285</f>
      </c>
      <c r="K285" t="n" s="17">
        <v>1968.0</v>
      </c>
      <c r="L285" s="23">
        <f>K285/F285</f>
      </c>
      <c r="M285" t="n" s="16">
        <v>121.0</v>
      </c>
      <c r="N285" t="n" s="16">
        <v>1916.0</v>
      </c>
      <c r="O285" s="21">
        <f>N285/F285</f>
      </c>
      <c r="P285" t="n" s="16">
        <v>1722.0</v>
      </c>
      <c r="Q285" s="21">
        <f>P285/F285</f>
      </c>
      <c r="R285" t="n" s="17">
        <v>182.0</v>
      </c>
      <c r="S285" t="n" s="17">
        <v>1604.0</v>
      </c>
      <c r="T285" s="23">
        <f>S285/F285</f>
      </c>
      <c r="U285" t="n" s="17">
        <v>1973.0</v>
      </c>
      <c r="V285" s="23">
        <f>U285/F285</f>
      </c>
    </row>
    <row r="286">
      <c r="A286" t="s" s="16">
        <v>289</v>
      </c>
      <c r="B286" t="n" s="16">
        <v>252.0</v>
      </c>
      <c r="C286" t="n" s="16">
        <v>163.0</v>
      </c>
      <c r="D286" t="n" s="16">
        <v>0.0</v>
      </c>
      <c r="E286" t="n" s="16">
        <v>0.0</v>
      </c>
      <c r="F286" t="n" s="16">
        <v>163.0</v>
      </c>
      <c r="G286" s="21">
        <f>C286/B286</f>
      </c>
      <c r="H286" t="n" s="17">
        <v>1.0</v>
      </c>
      <c r="I286" t="n" s="17">
        <v>70.0</v>
      </c>
      <c r="J286" s="23">
        <f>I286/F286</f>
      </c>
      <c r="K286" t="n" s="17">
        <v>92.0</v>
      </c>
      <c r="L286" s="23">
        <f>K286/F286</f>
      </c>
      <c r="M286" t="n" s="16">
        <v>3.0</v>
      </c>
      <c r="N286" t="n" s="16">
        <v>94.0</v>
      </c>
      <c r="O286" s="21">
        <f>N286/F286</f>
      </c>
      <c r="P286" t="n" s="16">
        <v>66.0</v>
      </c>
      <c r="Q286" s="21">
        <f>P286/F286</f>
      </c>
      <c r="R286" t="n" s="17">
        <v>8.0</v>
      </c>
      <c r="S286" t="n" s="17">
        <v>59.0</v>
      </c>
      <c r="T286" s="23">
        <f>S286/F286</f>
      </c>
      <c r="U286" t="n" s="17">
        <v>96.0</v>
      </c>
      <c r="V286" s="23">
        <f>U286/F286</f>
      </c>
    </row>
    <row r="287">
      <c r="A287" t="s" s="16">
        <v>290</v>
      </c>
      <c r="B287" t="n" s="16">
        <v>722.0</v>
      </c>
      <c r="C287" t="n" s="16">
        <v>438.0</v>
      </c>
      <c r="D287" t="n" s="16">
        <v>0.0</v>
      </c>
      <c r="E287" t="n" s="16">
        <v>0.0</v>
      </c>
      <c r="F287" t="n" s="16">
        <v>438.0</v>
      </c>
      <c r="G287" s="21">
        <f>C287/B287</f>
      </c>
      <c r="H287" t="n" s="17">
        <v>15.0</v>
      </c>
      <c r="I287" t="n" s="17">
        <v>159.0</v>
      </c>
      <c r="J287" s="23">
        <f>I287/F287</f>
      </c>
      <c r="K287" t="n" s="17">
        <v>264.0</v>
      </c>
      <c r="L287" s="23">
        <f>K287/F287</f>
      </c>
      <c r="M287" t="n" s="16">
        <v>15.0</v>
      </c>
      <c r="N287" t="n" s="16">
        <v>245.0</v>
      </c>
      <c r="O287" s="21">
        <f>N287/F287</f>
      </c>
      <c r="P287" t="n" s="16">
        <v>178.0</v>
      </c>
      <c r="Q287" s="21">
        <f>P287/F287</f>
      </c>
      <c r="R287" t="n" s="17">
        <v>26.0</v>
      </c>
      <c r="S287" t="n" s="17">
        <v>152.0</v>
      </c>
      <c r="T287" s="23">
        <f>S287/F287</f>
      </c>
      <c r="U287" t="n" s="17">
        <v>260.0</v>
      </c>
      <c r="V287" s="23">
        <f>U287/F287</f>
      </c>
    </row>
    <row r="288">
      <c r="A288" t="s" s="16">
        <v>291</v>
      </c>
      <c r="B288" t="n" s="16">
        <v>907.0</v>
      </c>
      <c r="C288" t="n" s="16">
        <v>10.0</v>
      </c>
      <c r="D288" t="n" s="16">
        <v>0.0</v>
      </c>
      <c r="E288" t="n" s="16">
        <v>3.0</v>
      </c>
      <c r="F288" t="n" s="16">
        <v>7.0</v>
      </c>
      <c r="G288" s="21">
        <f>C288/B288</f>
      </c>
      <c r="H288" t="n" s="17">
        <v>0.0</v>
      </c>
      <c r="I288" t="n" s="17">
        <v>6.0</v>
      </c>
      <c r="J288" s="23">
        <f>I288/F288</f>
      </c>
      <c r="K288" t="n" s="17">
        <v>1.0</v>
      </c>
      <c r="L288" s="23">
        <f>K288/F288</f>
      </c>
      <c r="M288" t="n" s="16">
        <v>0.0</v>
      </c>
      <c r="N288" t="n" s="16">
        <v>5.0</v>
      </c>
      <c r="O288" s="21">
        <f>N288/F288</f>
      </c>
      <c r="P288" t="n" s="16">
        <v>2.0</v>
      </c>
      <c r="Q288" s="21">
        <f>P288/F288</f>
      </c>
      <c r="R288" t="n" s="17">
        <v>0.0</v>
      </c>
      <c r="S288" t="n" s="17">
        <v>5.0</v>
      </c>
      <c r="T288" s="23">
        <f>S288/F288</f>
      </c>
      <c r="U288" t="n" s="17">
        <v>2.0</v>
      </c>
      <c r="V288" s="23">
        <f>U288/F288</f>
      </c>
    </row>
    <row r="289">
      <c r="A289" t="s" s="16">
        <v>292</v>
      </c>
      <c r="B289" t="n" s="16">
        <v>361.0</v>
      </c>
      <c r="C289" t="n" s="16">
        <v>208.0</v>
      </c>
      <c r="D289" t="n" s="16">
        <v>11.0</v>
      </c>
      <c r="E289" t="n" s="16">
        <v>0.0</v>
      </c>
      <c r="F289" t="n" s="16">
        <v>208.0</v>
      </c>
      <c r="G289" s="21">
        <f>C289/B289</f>
      </c>
      <c r="H289" t="n" s="17">
        <v>0.0</v>
      </c>
      <c r="I289" t="n" s="17">
        <v>91.0</v>
      </c>
      <c r="J289" s="23">
        <f>I289/F289</f>
      </c>
      <c r="K289" t="n" s="17">
        <v>106.0</v>
      </c>
      <c r="L289" s="23">
        <f>K289/F289</f>
      </c>
      <c r="M289" t="n" s="16">
        <v>3.0</v>
      </c>
      <c r="N289" t="n" s="16">
        <v>125.0</v>
      </c>
      <c r="O289" s="21">
        <f>N289/F289</f>
      </c>
      <c r="P289" t="n" s="16">
        <v>69.0</v>
      </c>
      <c r="Q289" s="21">
        <f>P289/F289</f>
      </c>
      <c r="R289" t="n" s="17">
        <v>7.0</v>
      </c>
      <c r="S289" t="n" s="17">
        <v>73.0</v>
      </c>
      <c r="T289" s="23">
        <f>S289/F289</f>
      </c>
      <c r="U289" t="n" s="17">
        <v>117.0</v>
      </c>
      <c r="V289" s="23">
        <f>U289/F289</f>
      </c>
    </row>
    <row r="290">
      <c r="A290" t="s" s="16">
        <v>293</v>
      </c>
      <c r="B290" t="n" s="16">
        <v>346.0</v>
      </c>
      <c r="C290" t="n" s="16">
        <v>197.0</v>
      </c>
      <c r="D290" t="n" s="16">
        <v>9.0</v>
      </c>
      <c r="E290" t="n" s="16">
        <v>0.0</v>
      </c>
      <c r="F290" t="n" s="16">
        <v>197.0</v>
      </c>
      <c r="G290" s="21">
        <f>C290/B290</f>
      </c>
      <c r="H290" t="n" s="17">
        <v>4.0</v>
      </c>
      <c r="I290" t="n" s="17">
        <v>55.0</v>
      </c>
      <c r="J290" s="23">
        <f>I290/F290</f>
      </c>
      <c r="K290" t="n" s="17">
        <v>129.0</v>
      </c>
      <c r="L290" s="23">
        <f>K290/F290</f>
      </c>
      <c r="M290" t="n" s="16">
        <v>10.0</v>
      </c>
      <c r="N290" t="n" s="16">
        <v>116.0</v>
      </c>
      <c r="O290" s="21">
        <f>N290/F290</f>
      </c>
      <c r="P290" t="n" s="16">
        <v>62.0</v>
      </c>
      <c r="Q290" s="21">
        <f>P290/F290</f>
      </c>
      <c r="R290" t="n" s="17">
        <v>8.0</v>
      </c>
      <c r="S290" t="n" s="17">
        <v>128.0</v>
      </c>
      <c r="T290" s="23">
        <f>S290/F290</f>
      </c>
      <c r="U290" t="n" s="17">
        <v>52.0</v>
      </c>
      <c r="V290" s="23">
        <f>U290/F290</f>
      </c>
    </row>
    <row r="291">
      <c r="A291" t="s" s="16">
        <v>294</v>
      </c>
      <c r="B291" t="n" s="16">
        <v>334.0</v>
      </c>
      <c r="C291" t="n" s="16">
        <v>204.0</v>
      </c>
      <c r="D291" t="n" s="16">
        <v>9.0</v>
      </c>
      <c r="E291" t="n" s="16">
        <v>0.0</v>
      </c>
      <c r="F291" t="n" s="16">
        <v>204.0</v>
      </c>
      <c r="G291" s="21">
        <f>C291/B291</f>
      </c>
      <c r="H291" t="n" s="17">
        <v>0.0</v>
      </c>
      <c r="I291" t="n" s="17">
        <v>78.0</v>
      </c>
      <c r="J291" s="23">
        <f>I291/F291</f>
      </c>
      <c r="K291" t="n" s="17">
        <v>117.0</v>
      </c>
      <c r="L291" s="23">
        <f>K291/F291</f>
      </c>
      <c r="M291" t="n" s="16">
        <v>2.0</v>
      </c>
      <c r="N291" t="n" s="16">
        <v>113.0</v>
      </c>
      <c r="O291" s="21">
        <f>N291/F291</f>
      </c>
      <c r="P291" t="n" s="16">
        <v>80.0</v>
      </c>
      <c r="Q291" s="21">
        <f>P291/F291</f>
      </c>
      <c r="R291" t="n" s="17">
        <v>11.0</v>
      </c>
      <c r="S291" t="n" s="17">
        <v>71.0</v>
      </c>
      <c r="T291" s="23">
        <f>S291/F291</f>
      </c>
      <c r="U291" t="n" s="17">
        <v>113.0</v>
      </c>
      <c r="V291" s="23">
        <f>U291/F291</f>
      </c>
    </row>
    <row r="292">
      <c r="A292" t="s" s="16">
        <v>295</v>
      </c>
      <c r="B292" t="n" s="16">
        <v>1094.0</v>
      </c>
      <c r="C292" t="n" s="16">
        <v>643.0</v>
      </c>
      <c r="D292" t="n" s="16">
        <v>39.0</v>
      </c>
      <c r="E292" t="n" s="16">
        <v>0.0</v>
      </c>
      <c r="F292" t="n" s="16">
        <v>643.0</v>
      </c>
      <c r="G292" s="21">
        <f>C292/B292</f>
      </c>
      <c r="H292" t="n" s="17">
        <v>9.0</v>
      </c>
      <c r="I292" t="n" s="17">
        <v>236.0</v>
      </c>
      <c r="J292" s="23">
        <f>I292/F292</f>
      </c>
      <c r="K292" t="n" s="17">
        <v>359.0</v>
      </c>
      <c r="L292" s="23">
        <f>K292/F292</f>
      </c>
      <c r="M292" t="n" s="16">
        <v>16.0</v>
      </c>
      <c r="N292" t="n" s="16">
        <v>335.0</v>
      </c>
      <c r="O292" s="21">
        <f>N292/F292</f>
      </c>
      <c r="P292" t="n" s="16">
        <v>253.0</v>
      </c>
      <c r="Q292" s="21">
        <f>P292/F292</f>
      </c>
      <c r="R292" t="n" s="17">
        <v>24.0</v>
      </c>
      <c r="S292" t="n" s="17">
        <v>212.0</v>
      </c>
      <c r="T292" s="23">
        <f>S292/F292</f>
      </c>
      <c r="U292" t="n" s="17">
        <v>368.0</v>
      </c>
      <c r="V292" s="23">
        <f>U292/F292</f>
      </c>
    </row>
    <row r="293">
      <c r="A293" t="s" s="16">
        <v>296</v>
      </c>
      <c r="B293" t="n" s="16">
        <v>1627.0</v>
      </c>
      <c r="C293" t="n" s="16">
        <v>922.0</v>
      </c>
      <c r="D293" t="n" s="16">
        <v>51.0</v>
      </c>
      <c r="E293" t="n" s="16">
        <v>0.0</v>
      </c>
      <c r="F293" t="n" s="16">
        <v>922.0</v>
      </c>
      <c r="G293" s="21">
        <f>C293/B293</f>
      </c>
      <c r="H293" t="n" s="17">
        <v>14.0</v>
      </c>
      <c r="I293" t="n" s="17">
        <v>365.0</v>
      </c>
      <c r="J293" s="23">
        <f>I293/F293</f>
      </c>
      <c r="K293" t="n" s="17">
        <v>492.0</v>
      </c>
      <c r="L293" s="23">
        <f>K293/F293</f>
      </c>
      <c r="M293" t="n" s="16">
        <v>10.0</v>
      </c>
      <c r="N293" t="n" s="16">
        <v>477.0</v>
      </c>
      <c r="O293" s="21">
        <f>N293/F293</f>
      </c>
      <c r="P293" t="n" s="16">
        <v>384.0</v>
      </c>
      <c r="Q293" s="21">
        <f>P293/F293</f>
      </c>
      <c r="R293" t="n" s="17">
        <v>23.0</v>
      </c>
      <c r="S293" t="n" s="17">
        <v>341.0</v>
      </c>
      <c r="T293" s="23">
        <f>S293/F293</f>
      </c>
      <c r="U293" t="n" s="17">
        <v>507.0</v>
      </c>
      <c r="V293" s="23">
        <f>U293/F293</f>
      </c>
    </row>
    <row r="294">
      <c r="A294" t="s" s="16">
        <v>297</v>
      </c>
      <c r="B294" t="n" s="16">
        <v>11365.0</v>
      </c>
      <c r="C294" t="n" s="16">
        <v>6122.0</v>
      </c>
      <c r="D294" t="n" s="16">
        <v>381.0</v>
      </c>
      <c r="E294" t="n" s="16">
        <v>12.0</v>
      </c>
      <c r="F294" t="n" s="16">
        <v>6110.0</v>
      </c>
      <c r="G294" s="21">
        <f>C294/B294</f>
      </c>
      <c r="H294" t="n" s="17">
        <v>102.0</v>
      </c>
      <c r="I294" t="n" s="17">
        <v>2980.0</v>
      </c>
      <c r="J294" s="23">
        <f>I294/F294</f>
      </c>
      <c r="K294" t="n" s="17">
        <v>2647.0</v>
      </c>
      <c r="L294" s="23">
        <f>K294/F294</f>
      </c>
      <c r="M294" t="n" s="16">
        <v>120.0</v>
      </c>
      <c r="N294" t="n" s="16">
        <v>2693.0</v>
      </c>
      <c r="O294" s="21">
        <f>N294/F294</f>
      </c>
      <c r="P294" t="n" s="16">
        <v>2916.0</v>
      </c>
      <c r="Q294" s="21">
        <f>P294/F294</f>
      </c>
      <c r="R294" t="n" s="17">
        <v>221.0</v>
      </c>
      <c r="S294" t="n" s="17">
        <v>2769.0</v>
      </c>
      <c r="T294" s="23">
        <f>S294/F294</f>
      </c>
      <c r="U294" t="n" s="17">
        <v>2739.0</v>
      </c>
      <c r="V294" s="23">
        <f>U294/F294</f>
      </c>
    </row>
    <row r="295">
      <c r="A295" t="s" s="16">
        <v>298</v>
      </c>
      <c r="B295" t="n" s="16">
        <v>911.0</v>
      </c>
      <c r="C295" t="n" s="16">
        <v>577.0</v>
      </c>
      <c r="D295" t="n" s="16">
        <v>29.0</v>
      </c>
      <c r="E295" t="n" s="16">
        <v>0.0</v>
      </c>
      <c r="F295" t="n" s="16">
        <v>577.0</v>
      </c>
      <c r="G295" s="21">
        <f>C295/B295</f>
      </c>
      <c r="H295" t="n" s="17">
        <v>5.0</v>
      </c>
      <c r="I295" t="n" s="17">
        <v>212.0</v>
      </c>
      <c r="J295" s="23">
        <f>I295/F295</f>
      </c>
      <c r="K295" t="n" s="17">
        <v>331.0</v>
      </c>
      <c r="L295" s="23">
        <f>K295/F295</f>
      </c>
      <c r="M295" t="n" s="16">
        <v>12.0</v>
      </c>
      <c r="N295" t="n" s="16">
        <v>282.0</v>
      </c>
      <c r="O295" s="21">
        <f>N295/F295</f>
      </c>
      <c r="P295" t="n" s="16">
        <v>254.0</v>
      </c>
      <c r="Q295" s="21">
        <f>P295/F295</f>
      </c>
      <c r="R295" t="n" s="17">
        <v>27.0</v>
      </c>
      <c r="S295" t="n" s="17">
        <v>196.0</v>
      </c>
      <c r="T295" s="23">
        <f>S295/F295</f>
      </c>
      <c r="U295" t="n" s="17">
        <v>325.0</v>
      </c>
      <c r="V295" s="23">
        <f>U295/F295</f>
      </c>
    </row>
    <row r="296">
      <c r="A296" t="s" s="16">
        <v>299</v>
      </c>
      <c r="B296" t="n" s="16">
        <v>2428.0</v>
      </c>
      <c r="C296" t="n" s="16">
        <v>1510.0</v>
      </c>
      <c r="D296" t="n" s="16">
        <v>78.0</v>
      </c>
      <c r="E296" t="n" s="16">
        <v>3.0</v>
      </c>
      <c r="F296" t="n" s="16">
        <v>1507.0</v>
      </c>
      <c r="G296" s="21">
        <f>C296/B296</f>
      </c>
      <c r="H296" t="n" s="17">
        <v>41.0</v>
      </c>
      <c r="I296" t="n" s="17">
        <v>616.0</v>
      </c>
      <c r="J296" s="23">
        <f>I296/F296</f>
      </c>
      <c r="K296" t="n" s="17">
        <v>772.0</v>
      </c>
      <c r="L296" s="23">
        <f>K296/F296</f>
      </c>
      <c r="M296" t="n" s="16">
        <v>42.0</v>
      </c>
      <c r="N296" t="n" s="16">
        <v>765.0</v>
      </c>
      <c r="O296" s="21">
        <f>N296/F296</f>
      </c>
      <c r="P296" t="n" s="16">
        <v>622.0</v>
      </c>
      <c r="Q296" s="21">
        <f>P296/F296</f>
      </c>
      <c r="R296" t="n" s="17">
        <v>70.0</v>
      </c>
      <c r="S296" t="n" s="17">
        <v>581.0</v>
      </c>
      <c r="T296" s="23">
        <f>S296/F296</f>
      </c>
      <c r="U296" t="n" s="17">
        <v>778.0</v>
      </c>
      <c r="V296" s="23">
        <f>U296/F296</f>
      </c>
    </row>
    <row r="297">
      <c r="A297" t="s" s="16">
        <v>300</v>
      </c>
      <c r="B297" t="n" s="16">
        <v>3192.0</v>
      </c>
      <c r="C297" t="n" s="16">
        <v>1739.0</v>
      </c>
      <c r="D297" t="n" s="16">
        <v>101.0</v>
      </c>
      <c r="E297" t="n" s="16">
        <v>0.0</v>
      </c>
      <c r="F297" t="n" s="16">
        <v>1739.0</v>
      </c>
      <c r="G297" s="21">
        <f>C297/B297</f>
      </c>
      <c r="H297" t="n" s="17">
        <v>23.0</v>
      </c>
      <c r="I297" t="n" s="17">
        <v>751.0</v>
      </c>
      <c r="J297" s="23">
        <f>I297/F297</f>
      </c>
      <c r="K297" t="n" s="17">
        <v>864.0</v>
      </c>
      <c r="L297" s="23">
        <f>K297/F297</f>
      </c>
      <c r="M297" t="n" s="16">
        <v>32.0</v>
      </c>
      <c r="N297" t="n" s="16">
        <v>834.0</v>
      </c>
      <c r="O297" s="21">
        <f>N297/F297</f>
      </c>
      <c r="P297" t="n" s="16">
        <v>772.0</v>
      </c>
      <c r="Q297" s="21">
        <f>P297/F297</f>
      </c>
      <c r="R297" t="n" s="17">
        <v>41.0</v>
      </c>
      <c r="S297" t="n" s="17">
        <v>722.0</v>
      </c>
      <c r="T297" s="23">
        <f>S297/F297</f>
      </c>
      <c r="U297" t="n" s="17">
        <v>875.0</v>
      </c>
      <c r="V297" s="23">
        <f>U297/F297</f>
      </c>
    </row>
    <row r="298">
      <c r="A298" t="s" s="16">
        <v>301</v>
      </c>
      <c r="B298" t="n" s="16">
        <v>1674.0</v>
      </c>
      <c r="C298" t="n" s="16">
        <v>850.0</v>
      </c>
      <c r="D298" t="n" s="16">
        <v>53.0</v>
      </c>
      <c r="E298" t="n" s="16">
        <v>2.0</v>
      </c>
      <c r="F298" t="n" s="16">
        <v>848.0</v>
      </c>
      <c r="G298" s="21">
        <f>C298/B298</f>
      </c>
      <c r="H298" t="n" s="17">
        <v>16.0</v>
      </c>
      <c r="I298" t="n" s="17">
        <v>360.0</v>
      </c>
      <c r="J298" s="23">
        <f>I298/F298</f>
      </c>
      <c r="K298" t="n" s="17">
        <v>419.0</v>
      </c>
      <c r="L298" s="23">
        <f>K298/F298</f>
      </c>
      <c r="M298" t="n" s="16">
        <v>22.0</v>
      </c>
      <c r="N298" t="n" s="16">
        <v>413.0</v>
      </c>
      <c r="O298" s="21">
        <f>N298/F298</f>
      </c>
      <c r="P298" t="n" s="16">
        <v>360.0</v>
      </c>
      <c r="Q298" s="21">
        <f>P298/F298</f>
      </c>
      <c r="R298" t="n" s="17">
        <v>33.0</v>
      </c>
      <c r="S298" t="n" s="17">
        <v>336.0</v>
      </c>
      <c r="T298" s="23">
        <f>S298/F298</f>
      </c>
      <c r="U298" t="n" s="17">
        <v>426.0</v>
      </c>
      <c r="V298" s="23">
        <f>U298/F298</f>
      </c>
    </row>
    <row r="299">
      <c r="A299" t="s" s="16">
        <v>302</v>
      </c>
      <c r="B299" t="n" s="16">
        <v>677.0</v>
      </c>
      <c r="C299" t="n" s="16">
        <v>369.0</v>
      </c>
      <c r="D299" t="n" s="16">
        <v>2.0</v>
      </c>
      <c r="E299" t="n" s="16">
        <v>1.0</v>
      </c>
      <c r="F299" t="n" s="16">
        <v>368.0</v>
      </c>
      <c r="G299" s="21">
        <f>C299/B299</f>
      </c>
      <c r="H299" t="n" s="17">
        <v>1.0</v>
      </c>
      <c r="I299" t="n" s="17">
        <v>164.0</v>
      </c>
      <c r="J299" s="23">
        <f>I299/F299</f>
      </c>
      <c r="K299" t="n" s="17">
        <v>201.0</v>
      </c>
      <c r="L299" s="23">
        <f>K299/F299</f>
      </c>
      <c r="M299" t="n" s="16">
        <v>14.0</v>
      </c>
      <c r="N299" t="n" s="16">
        <v>192.0</v>
      </c>
      <c r="O299" s="21">
        <f>N299/F299</f>
      </c>
      <c r="P299" t="n" s="16">
        <v>160.0</v>
      </c>
      <c r="Q299" s="21">
        <f>P299/F299</f>
      </c>
      <c r="R299" t="n" s="17">
        <v>19.0</v>
      </c>
      <c r="S299" t="n" s="17">
        <v>145.0</v>
      </c>
      <c r="T299" s="23">
        <f>S299/F299</f>
      </c>
      <c r="U299" t="n" s="17">
        <v>202.0</v>
      </c>
      <c r="V299" s="23">
        <f>U299/F299</f>
      </c>
    </row>
    <row r="300">
      <c r="A300" t="s" s="16">
        <v>303</v>
      </c>
      <c r="B300" t="n" s="16">
        <v>359.0</v>
      </c>
      <c r="C300" t="n" s="16">
        <v>216.0</v>
      </c>
      <c r="D300" t="n" s="16">
        <v>0.0</v>
      </c>
      <c r="E300" t="n" s="16">
        <v>0.0</v>
      </c>
      <c r="F300" t="n" s="16">
        <v>216.0</v>
      </c>
      <c r="G300" s="21">
        <f>C300/B300</f>
      </c>
      <c r="H300" t="n" s="17">
        <v>13.0</v>
      </c>
      <c r="I300" t="n" s="17">
        <v>70.0</v>
      </c>
      <c r="J300" s="23">
        <f>I300/F300</f>
      </c>
      <c r="K300" t="n" s="17">
        <v>133.0</v>
      </c>
      <c r="L300" s="23">
        <f>K300/F300</f>
      </c>
      <c r="M300" t="n" s="16">
        <v>16.0</v>
      </c>
      <c r="N300" t="n" s="16">
        <v>112.0</v>
      </c>
      <c r="O300" s="21">
        <f>N300/F300</f>
      </c>
      <c r="P300" t="n" s="16">
        <v>88.0</v>
      </c>
      <c r="Q300" s="21">
        <f>P300/F300</f>
      </c>
      <c r="R300" t="n" s="17">
        <v>24.0</v>
      </c>
      <c r="S300" t="n" s="17">
        <v>61.0</v>
      </c>
      <c r="T300" s="23">
        <f>S300/F300</f>
      </c>
      <c r="U300" t="n" s="17">
        <v>131.0</v>
      </c>
      <c r="V300" s="23">
        <f>U300/F300</f>
      </c>
    </row>
    <row r="301">
      <c r="A301" t="s" s="16">
        <v>304</v>
      </c>
      <c r="B301" t="n" s="16">
        <v>923.0</v>
      </c>
      <c r="C301" t="n" s="16">
        <v>571.0</v>
      </c>
      <c r="D301" t="n" s="16">
        <v>0.0</v>
      </c>
      <c r="E301" t="n" s="16">
        <v>0.0</v>
      </c>
      <c r="F301" t="n" s="16">
        <v>571.0</v>
      </c>
      <c r="G301" s="21">
        <f>C301/B301</f>
      </c>
      <c r="H301" t="n" s="17">
        <v>21.0</v>
      </c>
      <c r="I301" t="n" s="17">
        <v>198.0</v>
      </c>
      <c r="J301" s="23">
        <f>I301/F301</f>
      </c>
      <c r="K301" t="n" s="17">
        <v>352.0</v>
      </c>
      <c r="L301" s="23">
        <f>K301/F301</f>
      </c>
      <c r="M301" t="n" s="16">
        <v>38.0</v>
      </c>
      <c r="N301" t="n" s="16">
        <v>319.0</v>
      </c>
      <c r="O301" s="21">
        <f>N301/F301</f>
      </c>
      <c r="P301" t="n" s="16">
        <v>214.0</v>
      </c>
      <c r="Q301" s="21">
        <f>P301/F301</f>
      </c>
      <c r="R301" t="n" s="17">
        <v>42.0</v>
      </c>
      <c r="S301" t="n" s="17">
        <v>182.0</v>
      </c>
      <c r="T301" s="23">
        <f>S301/F301</f>
      </c>
      <c r="U301" t="n" s="17">
        <v>347.0</v>
      </c>
      <c r="V301" s="23">
        <f>U301/F301</f>
      </c>
    </row>
    <row r="302">
      <c r="A302" t="s" s="16">
        <v>305</v>
      </c>
      <c r="B302" t="n" s="16">
        <v>131.0</v>
      </c>
      <c r="C302" t="n" s="16">
        <v>79.0</v>
      </c>
      <c r="D302" t="n" s="16">
        <v>4.0</v>
      </c>
      <c r="E302" t="n" s="16">
        <v>0.0</v>
      </c>
      <c r="F302" t="n" s="16">
        <v>79.0</v>
      </c>
      <c r="G302" s="21">
        <f>C302/B302</f>
      </c>
      <c r="H302" t="n" s="17">
        <v>1.0</v>
      </c>
      <c r="I302" t="n" s="17">
        <v>19.0</v>
      </c>
      <c r="J302" s="23">
        <f>I302/F302</f>
      </c>
      <c r="K302" t="n" s="17">
        <v>55.0</v>
      </c>
      <c r="L302" s="23">
        <f>K302/F302</f>
      </c>
      <c r="M302" t="n" s="16">
        <v>2.0</v>
      </c>
      <c r="N302" t="n" s="16">
        <v>43.0</v>
      </c>
      <c r="O302" s="21">
        <f>N302/F302</f>
      </c>
      <c r="P302" t="n" s="16">
        <v>30.0</v>
      </c>
      <c r="Q302" s="21">
        <f>P302/F302</f>
      </c>
      <c r="R302" t="n" s="17">
        <v>6.0</v>
      </c>
      <c r="S302" t="n" s="17">
        <v>17.0</v>
      </c>
      <c r="T302" s="23">
        <f>S302/F302</f>
      </c>
      <c r="U302" t="n" s="17">
        <v>52.0</v>
      </c>
      <c r="V302" s="23">
        <f>U302/F302</f>
      </c>
    </row>
    <row r="303">
      <c r="A303" t="s" s="16">
        <v>306</v>
      </c>
      <c r="B303" t="n" s="16">
        <v>908.0</v>
      </c>
      <c r="C303" t="n" s="16">
        <v>598.0</v>
      </c>
      <c r="D303" t="n" s="16">
        <v>34.0</v>
      </c>
      <c r="E303" t="n" s="16">
        <v>0.0</v>
      </c>
      <c r="F303" t="n" s="16">
        <v>598.0</v>
      </c>
      <c r="G303" s="21">
        <f>C303/B303</f>
      </c>
      <c r="H303" t="n" s="17">
        <v>12.0</v>
      </c>
      <c r="I303" t="n" s="17">
        <v>206.0</v>
      </c>
      <c r="J303" s="23">
        <f>I303/F303</f>
      </c>
      <c r="K303" t="n" s="17">
        <v>346.0</v>
      </c>
      <c r="L303" s="23">
        <f>K303/F303</f>
      </c>
      <c r="M303" t="n" s="16">
        <v>11.0</v>
      </c>
      <c r="N303" t="n" s="16">
        <v>323.0</v>
      </c>
      <c r="O303" s="21">
        <f>N303/F303</f>
      </c>
      <c r="P303" t="n" s="16">
        <v>230.0</v>
      </c>
      <c r="Q303" s="21">
        <f>P303/F303</f>
      </c>
      <c r="R303" t="n" s="17">
        <v>17.0</v>
      </c>
      <c r="S303" t="n" s="17">
        <v>196.0</v>
      </c>
      <c r="T303" s="23">
        <f>S303/F303</f>
      </c>
      <c r="U303" t="n" s="17">
        <v>351.0</v>
      </c>
      <c r="V303" s="23">
        <f>U303/F303</f>
      </c>
    </row>
    <row r="304">
      <c r="A304" t="s" s="16">
        <v>307</v>
      </c>
      <c r="B304" t="n" s="16">
        <v>665.0</v>
      </c>
      <c r="C304" t="n" s="16">
        <v>386.0</v>
      </c>
      <c r="D304" t="n" s="16">
        <v>19.0</v>
      </c>
      <c r="E304" t="n" s="16">
        <v>0.0</v>
      </c>
      <c r="F304" t="n" s="16">
        <v>386.0</v>
      </c>
      <c r="G304" s="21">
        <f>C304/B304</f>
      </c>
      <c r="H304" t="n" s="17">
        <v>5.0</v>
      </c>
      <c r="I304" t="n" s="17">
        <v>136.0</v>
      </c>
      <c r="J304" s="23">
        <f>I304/F304</f>
      </c>
      <c r="K304" t="n" s="17">
        <v>226.0</v>
      </c>
      <c r="L304" s="23">
        <f>K304/F304</f>
      </c>
      <c r="M304" t="n" s="16">
        <v>3.0</v>
      </c>
      <c r="N304" t="n" s="16">
        <v>218.0</v>
      </c>
      <c r="O304" s="21">
        <f>N304/F304</f>
      </c>
      <c r="P304" t="n" s="16">
        <v>146.0</v>
      </c>
      <c r="Q304" s="21">
        <f>P304/F304</f>
      </c>
      <c r="R304" t="n" s="17">
        <v>16.0</v>
      </c>
      <c r="S304" t="n" s="17">
        <v>131.0</v>
      </c>
      <c r="T304" s="23">
        <f>S304/F304</f>
      </c>
      <c r="U304" t="n" s="17">
        <v>220.0</v>
      </c>
      <c r="V304" s="23">
        <f>U304/F304</f>
      </c>
    </row>
    <row r="305">
      <c r="A305" t="s" s="16">
        <v>308</v>
      </c>
      <c r="B305" t="n" s="16">
        <v>237.0</v>
      </c>
      <c r="C305" t="n" s="16">
        <v>149.0</v>
      </c>
      <c r="D305" t="n" s="16">
        <v>9.0</v>
      </c>
      <c r="E305" t="n" s="16">
        <v>0.0</v>
      </c>
      <c r="F305" t="n" s="16">
        <v>149.0</v>
      </c>
      <c r="G305" s="21">
        <f>C305/B305</f>
      </c>
      <c r="H305" t="n" s="17">
        <v>0.0</v>
      </c>
      <c r="I305" t="n" s="17">
        <v>51.0</v>
      </c>
      <c r="J305" s="23">
        <f>I305/F305</f>
      </c>
      <c r="K305" t="n" s="17">
        <v>89.0</v>
      </c>
      <c r="L305" s="23">
        <f>K305/F305</f>
      </c>
      <c r="M305" t="n" s="16">
        <v>2.0</v>
      </c>
      <c r="N305" t="n" s="16">
        <v>80.0</v>
      </c>
      <c r="O305" s="21">
        <f>N305/F305</f>
      </c>
      <c r="P305" t="n" s="16">
        <v>58.0</v>
      </c>
      <c r="Q305" s="21">
        <f>P305/F305</f>
      </c>
      <c r="R305" t="n" s="17">
        <v>6.0</v>
      </c>
      <c r="S305" t="n" s="17">
        <v>49.0</v>
      </c>
      <c r="T305" s="23">
        <f>S305/F305</f>
      </c>
      <c r="U305" t="n" s="17">
        <v>85.0</v>
      </c>
      <c r="V305" s="23">
        <f>U305/F305</f>
      </c>
    </row>
    <row r="306">
      <c r="A306" t="s" s="18">
        <v>261</v>
      </c>
      <c r="B306" s="19">
        <f>SUM(B259:B305)</f>
      </c>
      <c r="C306" s="19">
        <f>SUM(C259:C305)</f>
      </c>
      <c r="D306" s="19">
        <f>SUM(D259:D305)</f>
      </c>
      <c r="E306" s="19">
        <f>SUM(E259:E305)</f>
      </c>
      <c r="F306" s="19">
        <f>SUM(F259:F305)</f>
      </c>
      <c r="G306" s="22">
        <f>C306/B306</f>
      </c>
      <c r="H306" s="19">
        <f>SUM(H259:H305)</f>
      </c>
      <c r="I306" s="19">
        <f>SUM(I259:I305)</f>
      </c>
      <c r="J306" s="22">
        <f>I306/F306</f>
      </c>
      <c r="K306" s="19">
        <f>SUM(K259:K305)</f>
      </c>
      <c r="L306" s="22">
        <f>K306/F306</f>
      </c>
      <c r="M306" s="19">
        <f>SUM(M259:M305)</f>
      </c>
      <c r="N306" s="19">
        <f>SUM(N259:N305)</f>
      </c>
      <c r="O306" s="22">
        <f>N306/F306</f>
      </c>
      <c r="P306" s="19">
        <f>SUM(P259:P305)</f>
      </c>
      <c r="Q306" s="22">
        <f>P306/F306</f>
      </c>
      <c r="R306" s="19">
        <f>SUM(R259:R305)</f>
      </c>
      <c r="S306" s="19">
        <f>SUM(S259:S305)</f>
      </c>
      <c r="T306" s="22">
        <f>S306/F306</f>
      </c>
      <c r="U306" s="19">
        <f>SUM(U259:U305)</f>
      </c>
      <c r="V306" s="22">
        <f>U306/F306</f>
      </c>
    </row>
    <row r="307"/>
    <row r="308">
      <c r="A308" t="s" s="15">
        <v>309</v>
      </c>
    </row>
    <row r="309">
      <c r="A309" t="s" s="16">
        <v>310</v>
      </c>
      <c r="B309" t="n" s="16">
        <v>5702.0</v>
      </c>
      <c r="C309" t="n" s="16">
        <v>2955.0</v>
      </c>
      <c r="D309" t="n" s="16">
        <v>168.0</v>
      </c>
      <c r="E309" t="n" s="16">
        <v>7.0</v>
      </c>
      <c r="F309" t="n" s="16">
        <v>2948.0</v>
      </c>
      <c r="G309" s="21">
        <f>C309/B309</f>
      </c>
      <c r="H309" t="n" s="17">
        <v>41.0</v>
      </c>
      <c r="I309" t="n" s="17">
        <v>1423.0</v>
      </c>
      <c r="J309" s="23">
        <f>I309/F309</f>
      </c>
      <c r="K309" t="n" s="17">
        <v>1316.0</v>
      </c>
      <c r="L309" s="23">
        <f>K309/F309</f>
      </c>
      <c r="M309" t="n" s="16">
        <v>46.0</v>
      </c>
      <c r="N309" t="n" s="16">
        <v>1328.0</v>
      </c>
      <c r="O309" s="21">
        <f>N309/F309</f>
      </c>
      <c r="P309" t="n" s="16">
        <v>1406.0</v>
      </c>
      <c r="Q309" s="21">
        <f>P309/F309</f>
      </c>
      <c r="R309" t="n" s="17">
        <v>109.0</v>
      </c>
      <c r="S309" t="n" s="17">
        <v>1327.0</v>
      </c>
      <c r="T309" s="23">
        <f>S309/F309</f>
      </c>
      <c r="U309" t="n" s="17">
        <v>1344.0</v>
      </c>
      <c r="V309" s="23">
        <f>U309/F309</f>
      </c>
    </row>
    <row r="310">
      <c r="A310" t="s" s="16">
        <v>311</v>
      </c>
      <c r="B310" t="n" s="16">
        <v>3694.0</v>
      </c>
      <c r="C310" t="n" s="16">
        <v>1502.0</v>
      </c>
      <c r="D310" t="n" s="16">
        <v>63.0</v>
      </c>
      <c r="E310" t="n" s="16">
        <v>2.0</v>
      </c>
      <c r="F310" t="n" s="16">
        <v>1500.0</v>
      </c>
      <c r="G310" s="21">
        <f>C310/B310</f>
      </c>
      <c r="H310" t="n" s="17">
        <v>16.0</v>
      </c>
      <c r="I310" t="n" s="17">
        <v>919.0</v>
      </c>
      <c r="J310" s="23">
        <f>I310/F310</f>
      </c>
      <c r="K310" t="n" s="17">
        <v>502.0</v>
      </c>
      <c r="L310" s="23">
        <f>K310/F310</f>
      </c>
      <c r="M310" t="n" s="16">
        <v>38.0</v>
      </c>
      <c r="N310" t="n" s="16">
        <v>553.0</v>
      </c>
      <c r="O310" s="21">
        <f>N310/F310</f>
      </c>
      <c r="P310" t="n" s="16">
        <v>846.0</v>
      </c>
      <c r="Q310" s="21">
        <f>P310/F310</f>
      </c>
      <c r="R310" t="n" s="17">
        <v>56.0</v>
      </c>
      <c r="S310" t="n" s="17">
        <v>880.0</v>
      </c>
      <c r="T310" s="23">
        <f>S310/F310</f>
      </c>
      <c r="U310" t="n" s="17">
        <v>501.0</v>
      </c>
      <c r="V310" s="23">
        <f>U310/F310</f>
      </c>
    </row>
    <row r="311">
      <c r="A311" t="s" s="16">
        <v>312</v>
      </c>
      <c r="B311" t="n" s="16">
        <v>4934.0</v>
      </c>
      <c r="C311" t="n" s="16">
        <v>2281.0</v>
      </c>
      <c r="D311" t="n" s="16">
        <v>134.0</v>
      </c>
      <c r="E311" t="n" s="16">
        <v>5.0</v>
      </c>
      <c r="F311" t="n" s="16">
        <v>2276.0</v>
      </c>
      <c r="G311" s="21">
        <f>C311/B311</f>
      </c>
      <c r="H311" t="n" s="17">
        <v>40.0</v>
      </c>
      <c r="I311" t="n" s="17">
        <v>1159.0</v>
      </c>
      <c r="J311" s="23">
        <f>I311/F311</f>
      </c>
      <c r="K311" t="n" s="17">
        <v>943.0</v>
      </c>
      <c r="L311" s="23">
        <f>K311/F311</f>
      </c>
      <c r="M311" t="n" s="16">
        <v>44.0</v>
      </c>
      <c r="N311" t="n" s="16">
        <v>969.0</v>
      </c>
      <c r="O311" s="21">
        <f>N311/F311</f>
      </c>
      <c r="P311" t="n" s="16">
        <v>1129.0</v>
      </c>
      <c r="Q311" s="21">
        <f>P311/F311</f>
      </c>
      <c r="R311" t="n" s="17">
        <v>85.0</v>
      </c>
      <c r="S311" t="n" s="17">
        <v>1079.0</v>
      </c>
      <c r="T311" s="23">
        <f>S311/F311</f>
      </c>
      <c r="U311" t="n" s="17">
        <v>978.0</v>
      </c>
      <c r="V311" s="23">
        <f>U311/F311</f>
      </c>
    </row>
    <row r="312">
      <c r="A312" t="s" s="16">
        <v>313</v>
      </c>
      <c r="B312" t="n" s="16">
        <v>5742.0</v>
      </c>
      <c r="C312" t="n" s="16">
        <v>2940.0</v>
      </c>
      <c r="D312" t="n" s="16">
        <v>178.0</v>
      </c>
      <c r="E312" t="n" s="16">
        <v>5.0</v>
      </c>
      <c r="F312" t="n" s="16">
        <v>2935.0</v>
      </c>
      <c r="G312" s="21">
        <f>C312/B312</f>
      </c>
      <c r="H312" t="n" s="17">
        <v>44.0</v>
      </c>
      <c r="I312" t="n" s="17">
        <v>1459.0</v>
      </c>
      <c r="J312" s="23">
        <f>I312/F312</f>
      </c>
      <c r="K312" t="n" s="17">
        <v>1254.0</v>
      </c>
      <c r="L312" s="23">
        <f>K312/F312</f>
      </c>
      <c r="M312" t="n" s="16">
        <v>49.0</v>
      </c>
      <c r="N312" t="n" s="16">
        <v>1259.0</v>
      </c>
      <c r="O312" s="21">
        <f>N312/F312</f>
      </c>
      <c r="P312" t="n" s="16">
        <v>1449.0</v>
      </c>
      <c r="Q312" s="21">
        <f>P312/F312</f>
      </c>
      <c r="R312" t="n" s="17">
        <v>99.0</v>
      </c>
      <c r="S312" t="n" s="17">
        <v>1349.0</v>
      </c>
      <c r="T312" s="23">
        <f>S312/F312</f>
      </c>
      <c r="U312" t="n" s="17">
        <v>1309.0</v>
      </c>
      <c r="V312" s="23">
        <f>U312/F312</f>
      </c>
    </row>
    <row r="313">
      <c r="A313" t="s" s="16">
        <v>314</v>
      </c>
      <c r="B313" t="n" s="16">
        <v>6009.0</v>
      </c>
      <c r="C313" t="n" s="16">
        <v>3066.0</v>
      </c>
      <c r="D313" t="n" s="16">
        <v>166.0</v>
      </c>
      <c r="E313" t="n" s="16">
        <v>5.0</v>
      </c>
      <c r="F313" t="n" s="16">
        <v>3061.0</v>
      </c>
      <c r="G313" s="21">
        <f>C313/B313</f>
      </c>
      <c r="H313" t="n" s="17">
        <v>43.0</v>
      </c>
      <c r="I313" t="n" s="17">
        <v>1685.0</v>
      </c>
      <c r="J313" s="23">
        <f>I313/F313</f>
      </c>
      <c r="K313" t="n" s="17">
        <v>1167.0</v>
      </c>
      <c r="L313" s="23">
        <f>K313/F313</f>
      </c>
      <c r="M313" t="n" s="16">
        <v>71.0</v>
      </c>
      <c r="N313" t="n" s="16">
        <v>1233.0</v>
      </c>
      <c r="O313" s="21">
        <f>N313/F313</f>
      </c>
      <c r="P313" t="n" s="16">
        <v>1591.0</v>
      </c>
      <c r="Q313" s="21">
        <f>P313/F313</f>
      </c>
      <c r="R313" t="n" s="17">
        <v>113.0</v>
      </c>
      <c r="S313" t="n" s="17">
        <v>1540.0</v>
      </c>
      <c r="T313" s="23">
        <f>S313/F313</f>
      </c>
      <c r="U313" t="n" s="17">
        <v>1242.0</v>
      </c>
      <c r="V313" s="23">
        <f>U313/F313</f>
      </c>
    </row>
    <row r="314">
      <c r="A314" t="s" s="16">
        <v>315</v>
      </c>
      <c r="B314" t="n" s="16">
        <v>8827.0</v>
      </c>
      <c r="C314" t="n" s="16">
        <v>3886.0</v>
      </c>
      <c r="D314" t="n" s="16">
        <v>195.0</v>
      </c>
      <c r="E314" t="n" s="16">
        <v>15.0</v>
      </c>
      <c r="F314" t="n" s="16">
        <v>3871.0</v>
      </c>
      <c r="G314" s="21">
        <f>C314/B314</f>
      </c>
      <c r="H314" t="n" s="17">
        <v>42.0</v>
      </c>
      <c r="I314" t="n" s="17">
        <v>2352.0</v>
      </c>
      <c r="J314" s="23">
        <f>I314/F314</f>
      </c>
      <c r="K314" t="n" s="17">
        <v>1282.0</v>
      </c>
      <c r="L314" s="23">
        <f>K314/F314</f>
      </c>
      <c r="M314" t="n" s="16">
        <v>81.0</v>
      </c>
      <c r="N314" t="n" s="16">
        <v>1390.0</v>
      </c>
      <c r="O314" s="21">
        <f>N314/F314</f>
      </c>
      <c r="P314" t="n" s="16">
        <v>2205.0</v>
      </c>
      <c r="Q314" s="21">
        <f>P314/F314</f>
      </c>
      <c r="R314" t="n" s="17">
        <v>117.0</v>
      </c>
      <c r="S314" t="n" s="17">
        <v>2204.0</v>
      </c>
      <c r="T314" s="23">
        <f>S314/F314</f>
      </c>
      <c r="U314" t="n" s="17">
        <v>1355.0</v>
      </c>
      <c r="V314" s="23">
        <f>U314/F314</f>
      </c>
    </row>
    <row r="315">
      <c r="A315" t="s" s="16">
        <v>316</v>
      </c>
      <c r="B315" t="n" s="16">
        <v>2291.0</v>
      </c>
      <c r="C315" t="n" s="16">
        <v>1511.0</v>
      </c>
      <c r="D315" t="n" s="16">
        <v>75.0</v>
      </c>
      <c r="E315" t="n" s="16">
        <v>2.0</v>
      </c>
      <c r="F315" t="n" s="16">
        <v>1509.0</v>
      </c>
      <c r="G315" s="21">
        <f>C315/B315</f>
      </c>
      <c r="H315" t="n" s="17">
        <v>16.0</v>
      </c>
      <c r="I315" t="n" s="17">
        <v>568.0</v>
      </c>
      <c r="J315" s="23">
        <f>I315/F315</f>
      </c>
      <c r="K315" t="n" s="17">
        <v>850.0</v>
      </c>
      <c r="L315" s="23">
        <f>K315/F315</f>
      </c>
      <c r="M315" t="n" s="16">
        <v>21.0</v>
      </c>
      <c r="N315" t="n" s="16">
        <v>790.0</v>
      </c>
      <c r="O315" s="21">
        <f>N315/F315</f>
      </c>
      <c r="P315" t="n" s="16">
        <v>623.0</v>
      </c>
      <c r="Q315" s="21">
        <f>P315/F315</f>
      </c>
      <c r="R315" t="n" s="17">
        <v>36.0</v>
      </c>
      <c r="S315" t="n" s="17">
        <v>545.0</v>
      </c>
      <c r="T315" s="23">
        <f>S315/F315</f>
      </c>
      <c r="U315" t="n" s="17">
        <v>853.0</v>
      </c>
      <c r="V315" s="23">
        <f>U315/F315</f>
      </c>
    </row>
    <row r="316">
      <c r="A316" t="s" s="16">
        <v>317</v>
      </c>
      <c r="B316" t="n" s="16">
        <v>554.0</v>
      </c>
      <c r="C316" t="n" s="16">
        <v>278.0</v>
      </c>
      <c r="D316" t="n" s="16">
        <v>5.0</v>
      </c>
      <c r="E316" t="n" s="16">
        <v>0.0</v>
      </c>
      <c r="F316" t="n" s="16">
        <v>278.0</v>
      </c>
      <c r="G316" s="21">
        <f>C316/B316</f>
      </c>
      <c r="H316" t="n" s="17">
        <v>7.0</v>
      </c>
      <c r="I316" t="n" s="17">
        <v>117.0</v>
      </c>
      <c r="J316" s="23">
        <f>I316/F316</f>
      </c>
      <c r="K316" t="n" s="17">
        <v>149.0</v>
      </c>
      <c r="L316" s="23">
        <f>K316/F316</f>
      </c>
      <c r="M316" t="n" s="16">
        <v>11.0</v>
      </c>
      <c r="N316" t="n" s="16">
        <v>157.0</v>
      </c>
      <c r="O316" s="21">
        <f>N316/F316</f>
      </c>
      <c r="P316" t="n" s="16">
        <v>105.0</v>
      </c>
      <c r="Q316" s="21">
        <f>P316/F316</f>
      </c>
      <c r="R316" t="n" s="17">
        <v>9.0</v>
      </c>
      <c r="S316" t="n" s="17">
        <v>109.0</v>
      </c>
      <c r="T316" s="23">
        <f>S316/F316</f>
      </c>
      <c r="U316" t="n" s="17">
        <v>155.0</v>
      </c>
      <c r="V316" s="23">
        <f>U316/F316</f>
      </c>
    </row>
    <row r="317">
      <c r="A317" t="s" s="18">
        <v>309</v>
      </c>
      <c r="B317" s="19">
        <f>SUM(B309:B316)</f>
      </c>
      <c r="C317" s="19">
        <f>SUM(C309:C316)</f>
      </c>
      <c r="D317" s="19">
        <f>SUM(D309:D316)</f>
      </c>
      <c r="E317" s="19">
        <f>SUM(E309:E316)</f>
      </c>
      <c r="F317" s="19">
        <f>SUM(F309:F316)</f>
      </c>
      <c r="G317" s="22">
        <f>C317/B317</f>
      </c>
      <c r="H317" s="19">
        <f>SUM(H309:H316)</f>
      </c>
      <c r="I317" s="19">
        <f>SUM(I309:I316)</f>
      </c>
      <c r="J317" s="22">
        <f>I317/F317</f>
      </c>
      <c r="K317" s="19">
        <f>SUM(K309:K316)</f>
      </c>
      <c r="L317" s="22">
        <f>K317/F317</f>
      </c>
      <c r="M317" s="19">
        <f>SUM(M309:M316)</f>
      </c>
      <c r="N317" s="19">
        <f>SUM(N309:N316)</f>
      </c>
      <c r="O317" s="22">
        <f>N317/F317</f>
      </c>
      <c r="P317" s="19">
        <f>SUM(P309:P316)</f>
      </c>
      <c r="Q317" s="22">
        <f>P317/F317</f>
      </c>
      <c r="R317" s="19">
        <f>SUM(R309:R316)</f>
      </c>
      <c r="S317" s="19">
        <f>SUM(S309:S316)</f>
      </c>
      <c r="T317" s="22">
        <f>S317/F317</f>
      </c>
      <c r="U317" s="19">
        <f>SUM(U309:U316)</f>
      </c>
      <c r="V317" s="22">
        <f>U317/F317</f>
      </c>
    </row>
    <row r="318"/>
    <row r="319">
      <c r="A319" t="s" s="15">
        <v>318</v>
      </c>
    </row>
    <row r="320">
      <c r="A320" t="s" s="16">
        <v>319</v>
      </c>
      <c r="B320" t="n" s="16">
        <v>7789.0</v>
      </c>
      <c r="C320" t="n" s="16">
        <v>4703.0</v>
      </c>
      <c r="D320" t="n" s="16">
        <v>291.0</v>
      </c>
      <c r="E320" t="n" s="16">
        <v>3.0</v>
      </c>
      <c r="F320" t="n" s="16">
        <v>4700.0</v>
      </c>
      <c r="G320" s="21">
        <f>C320/B320</f>
      </c>
      <c r="H320" t="n" s="17">
        <v>78.0</v>
      </c>
      <c r="I320" t="n" s="17">
        <v>1702.0</v>
      </c>
      <c r="J320" s="23">
        <f>I320/F320</f>
      </c>
      <c r="K320" t="n" s="17">
        <v>2629.0</v>
      </c>
      <c r="L320" s="23">
        <f>K320/F320</f>
      </c>
      <c r="M320" t="n" s="16">
        <v>88.0</v>
      </c>
      <c r="N320" t="n" s="16">
        <v>2513.0</v>
      </c>
      <c r="O320" s="21">
        <f>N320/F320</f>
      </c>
      <c r="P320" t="n" s="16">
        <v>1808.0</v>
      </c>
      <c r="Q320" s="21">
        <f>P320/F320</f>
      </c>
      <c r="R320" t="n" s="17">
        <v>140.0</v>
      </c>
      <c r="S320" t="n" s="17">
        <v>1617.0</v>
      </c>
      <c r="T320" s="23">
        <f>S320/F320</f>
      </c>
      <c r="U320" t="n" s="17">
        <v>2652.0</v>
      </c>
      <c r="V320" s="23">
        <f>U320/F320</f>
      </c>
    </row>
    <row r="321">
      <c r="A321" t="s" s="16">
        <v>320</v>
      </c>
      <c r="B321" t="n" s="16">
        <v>2131.0</v>
      </c>
      <c r="C321" t="n" s="16">
        <v>1327.0</v>
      </c>
      <c r="D321" t="n" s="16">
        <v>83.0</v>
      </c>
      <c r="E321" t="n" s="16">
        <v>2.0</v>
      </c>
      <c r="F321" t="n" s="16">
        <v>1325.0</v>
      </c>
      <c r="G321" s="21">
        <f>C321/B321</f>
      </c>
      <c r="H321" t="n" s="17">
        <v>16.0</v>
      </c>
      <c r="I321" t="n" s="17">
        <v>521.0</v>
      </c>
      <c r="J321" s="23">
        <f>I321/F321</f>
      </c>
      <c r="K321" t="n" s="17">
        <v>705.0</v>
      </c>
      <c r="L321" s="23">
        <f>K321/F321</f>
      </c>
      <c r="M321" t="n" s="16">
        <v>24.0</v>
      </c>
      <c r="N321" t="n" s="16">
        <v>657.0</v>
      </c>
      <c r="O321" s="21">
        <f>N321/F321</f>
      </c>
      <c r="P321" t="n" s="16">
        <v>561.0</v>
      </c>
      <c r="Q321" s="21">
        <f>P321/F321</f>
      </c>
      <c r="R321" t="n" s="17">
        <v>30.0</v>
      </c>
      <c r="S321" t="n" s="17">
        <v>483.0</v>
      </c>
      <c r="T321" s="23">
        <f>S321/F321</f>
      </c>
      <c r="U321" t="n" s="17">
        <v>729.0</v>
      </c>
      <c r="V321" s="23">
        <f>U321/F321</f>
      </c>
    </row>
    <row r="322">
      <c r="A322" t="s" s="16">
        <v>321</v>
      </c>
      <c r="B322" t="n" s="16">
        <v>2051.0</v>
      </c>
      <c r="C322" t="n" s="16">
        <v>1070.0</v>
      </c>
      <c r="D322" t="n" s="16">
        <v>76.0</v>
      </c>
      <c r="E322" t="n" s="16">
        <v>3.0</v>
      </c>
      <c r="F322" t="n" s="16">
        <v>1067.0</v>
      </c>
      <c r="G322" s="21">
        <f>C322/B322</f>
      </c>
      <c r="H322" t="n" s="17">
        <v>24.0</v>
      </c>
      <c r="I322" t="n" s="17">
        <v>307.0</v>
      </c>
      <c r="J322" s="23">
        <f>I322/F322</f>
      </c>
      <c r="K322" t="n" s="17">
        <v>660.0</v>
      </c>
      <c r="L322" s="23">
        <f>K322/F322</f>
      </c>
      <c r="M322" t="n" s="16">
        <v>33.0</v>
      </c>
      <c r="N322" t="n" s="16">
        <v>584.0</v>
      </c>
      <c r="O322" s="21">
        <f>N322/F322</f>
      </c>
      <c r="P322" t="n" s="16">
        <v>374.0</v>
      </c>
      <c r="Q322" s="21">
        <f>P322/F322</f>
      </c>
      <c r="R322" t="n" s="17">
        <v>47.0</v>
      </c>
      <c r="S322" t="n" s="17">
        <v>310.0</v>
      </c>
      <c r="T322" s="23">
        <f>S322/F322</f>
      </c>
      <c r="U322" t="n" s="17">
        <v>634.0</v>
      </c>
      <c r="V322" s="23">
        <f>U322/F322</f>
      </c>
    </row>
    <row r="323">
      <c r="A323" t="s" s="16">
        <v>322</v>
      </c>
      <c r="B323" t="n" s="16">
        <v>1445.0</v>
      </c>
      <c r="C323" t="n" s="16">
        <v>960.0</v>
      </c>
      <c r="D323" t="n" s="16">
        <v>53.0</v>
      </c>
      <c r="E323" t="n" s="16">
        <v>1.0</v>
      </c>
      <c r="F323" t="n" s="16">
        <v>959.0</v>
      </c>
      <c r="G323" s="21">
        <f>C323/B323</f>
      </c>
      <c r="H323" t="n" s="17">
        <v>13.0</v>
      </c>
      <c r="I323" t="n" s="17">
        <v>374.0</v>
      </c>
      <c r="J323" s="23">
        <f>I323/F323</f>
      </c>
      <c r="K323" t="n" s="17">
        <v>519.0</v>
      </c>
      <c r="L323" s="23">
        <f>K323/F323</f>
      </c>
      <c r="M323" t="n" s="16">
        <v>21.0</v>
      </c>
      <c r="N323" t="n" s="16">
        <v>507.0</v>
      </c>
      <c r="O323" s="21">
        <f>N323/F323</f>
      </c>
      <c r="P323" t="n" s="16">
        <v>378.0</v>
      </c>
      <c r="Q323" s="21">
        <f>P323/F323</f>
      </c>
      <c r="R323" t="n" s="17">
        <v>39.0</v>
      </c>
      <c r="S323" t="n" s="17">
        <v>350.0</v>
      </c>
      <c r="T323" s="23">
        <f>S323/F323</f>
      </c>
      <c r="U323" t="n" s="17">
        <v>517.0</v>
      </c>
      <c r="V323" s="23">
        <f>U323/F323</f>
      </c>
    </row>
    <row r="324">
      <c r="A324" t="s" s="16">
        <v>323</v>
      </c>
      <c r="B324" t="n" s="16">
        <v>1930.0</v>
      </c>
      <c r="C324" t="n" s="16">
        <v>1096.0</v>
      </c>
      <c r="D324" t="n" s="16">
        <v>73.0</v>
      </c>
      <c r="E324" t="n" s="16">
        <v>1.0</v>
      </c>
      <c r="F324" t="n" s="16">
        <v>1095.0</v>
      </c>
      <c r="G324" s="21">
        <f>C324/B324</f>
      </c>
      <c r="H324" t="n" s="17">
        <v>22.0</v>
      </c>
      <c r="I324" t="n" s="17">
        <v>541.0</v>
      </c>
      <c r="J324" s="23">
        <f>I324/F324</f>
      </c>
      <c r="K324" t="n" s="17">
        <v>459.0</v>
      </c>
      <c r="L324" s="23">
        <f>K324/F324</f>
      </c>
      <c r="M324" t="n" s="16">
        <v>30.0</v>
      </c>
      <c r="N324" t="n" s="16">
        <v>458.0</v>
      </c>
      <c r="O324" s="21">
        <f>N324/F324</f>
      </c>
      <c r="P324" t="n" s="16">
        <v>534.0</v>
      </c>
      <c r="Q324" s="21">
        <f>P324/F324</f>
      </c>
      <c r="R324" t="n" s="17">
        <v>45.0</v>
      </c>
      <c r="S324" t="n" s="17">
        <v>494.0</v>
      </c>
      <c r="T324" s="23">
        <f>S324/F324</f>
      </c>
      <c r="U324" t="n" s="17">
        <v>483.0</v>
      </c>
      <c r="V324" s="23">
        <f>U324/F324</f>
      </c>
    </row>
    <row r="325">
      <c r="A325" t="s" s="16">
        <v>324</v>
      </c>
      <c r="B325" t="n" s="16">
        <v>1113.0</v>
      </c>
      <c r="C325" t="n" s="16">
        <v>757.0</v>
      </c>
      <c r="D325" t="n" s="16">
        <v>18.0</v>
      </c>
      <c r="E325" t="n" s="16">
        <v>1.0</v>
      </c>
      <c r="F325" t="n" s="16">
        <v>756.0</v>
      </c>
      <c r="G325" s="21">
        <f>C325/B325</f>
      </c>
      <c r="H325" t="n" s="17">
        <v>14.0</v>
      </c>
      <c r="I325" t="n" s="17">
        <v>305.0</v>
      </c>
      <c r="J325" s="23">
        <f>I325/F325</f>
      </c>
      <c r="K325" t="n" s="17">
        <v>419.0</v>
      </c>
      <c r="L325" s="23">
        <f>K325/F325</f>
      </c>
      <c r="M325" t="n" s="16">
        <v>16.0</v>
      </c>
      <c r="N325" t="n" s="16">
        <v>379.0</v>
      </c>
      <c r="O325" s="21">
        <f>N325/F325</f>
      </c>
      <c r="P325" t="n" s="16">
        <v>343.0</v>
      </c>
      <c r="Q325" s="21">
        <f>P325/F325</f>
      </c>
      <c r="R325" t="n" s="17">
        <v>27.0</v>
      </c>
      <c r="S325" t="n" s="17">
        <v>291.0</v>
      </c>
      <c r="T325" s="23">
        <f>S325/F325</f>
      </c>
      <c r="U325" t="n" s="17">
        <v>420.0</v>
      </c>
      <c r="V325" s="23">
        <f>U325/F325</f>
      </c>
    </row>
    <row r="326">
      <c r="A326" t="s" s="16">
        <v>325</v>
      </c>
      <c r="B326" t="n" s="16">
        <v>7493.0</v>
      </c>
      <c r="C326" t="n" s="16">
        <v>4467.0</v>
      </c>
      <c r="D326" t="n" s="16">
        <v>266.0</v>
      </c>
      <c r="E326" t="n" s="16">
        <v>3.0</v>
      </c>
      <c r="F326" t="n" s="16">
        <v>4464.0</v>
      </c>
      <c r="G326" s="21">
        <f>C326/B326</f>
      </c>
      <c r="H326" t="n" s="17">
        <v>77.0</v>
      </c>
      <c r="I326" t="n" s="17">
        <v>2146.0</v>
      </c>
      <c r="J326" s="23">
        <f>I326/F326</f>
      </c>
      <c r="K326" t="n" s="17">
        <v>1975.0</v>
      </c>
      <c r="L326" s="23">
        <f>K326/F326</f>
      </c>
      <c r="M326" t="n" s="16">
        <v>109.0</v>
      </c>
      <c r="N326" t="n" s="16">
        <v>1952.0</v>
      </c>
      <c r="O326" s="21">
        <f>N326/F326</f>
      </c>
      <c r="P326" t="n" s="16">
        <v>2137.0</v>
      </c>
      <c r="Q326" s="21">
        <f>P326/F326</f>
      </c>
      <c r="R326" t="n" s="17">
        <v>156.0</v>
      </c>
      <c r="S326" t="n" s="17">
        <v>2036.0</v>
      </c>
      <c r="T326" s="23">
        <f>S326/F326</f>
      </c>
      <c r="U326" t="n" s="17">
        <v>2006.0</v>
      </c>
      <c r="V326" s="23">
        <f>U326/F326</f>
      </c>
    </row>
    <row r="327">
      <c r="A327" t="s" s="16">
        <v>326</v>
      </c>
      <c r="B327" t="n" s="16">
        <v>12331.0</v>
      </c>
      <c r="C327" t="n" s="16">
        <v>6278.0</v>
      </c>
      <c r="D327" t="n" s="16">
        <v>341.0</v>
      </c>
      <c r="E327" t="n" s="16">
        <v>15.0</v>
      </c>
      <c r="F327" t="n" s="16">
        <v>6263.0</v>
      </c>
      <c r="G327" s="21">
        <f>C327/B327</f>
      </c>
      <c r="H327" t="n" s="17">
        <v>104.0</v>
      </c>
      <c r="I327" t="n" s="17">
        <v>2868.0</v>
      </c>
      <c r="J327" s="23">
        <f>I327/F327</f>
      </c>
      <c r="K327" t="n" s="17">
        <v>2950.0</v>
      </c>
      <c r="L327" s="23">
        <f>K327/F327</f>
      </c>
      <c r="M327" t="n" s="16">
        <v>165.0</v>
      </c>
      <c r="N327" t="n" s="16">
        <v>2837.0</v>
      </c>
      <c r="O327" s="21">
        <f>N327/F327</f>
      </c>
      <c r="P327" t="n" s="16">
        <v>2920.0</v>
      </c>
      <c r="Q327" s="21">
        <f>P327/F327</f>
      </c>
      <c r="R327" t="n" s="17">
        <v>224.0</v>
      </c>
      <c r="S327" t="n" s="17">
        <v>2644.0</v>
      </c>
      <c r="T327" s="23">
        <f>S327/F327</f>
      </c>
      <c r="U327" t="n" s="17">
        <v>3054.0</v>
      </c>
      <c r="V327" s="23">
        <f>U327/F327</f>
      </c>
    </row>
    <row r="328">
      <c r="A328" t="s" s="16">
        <v>327</v>
      </c>
      <c r="B328" t="n" s="16">
        <v>331.0</v>
      </c>
      <c r="C328" t="n" s="16">
        <v>162.0</v>
      </c>
      <c r="D328" t="n" s="16">
        <v>1.0</v>
      </c>
      <c r="E328" t="n" s="16">
        <v>0.0</v>
      </c>
      <c r="F328" t="n" s="16">
        <v>162.0</v>
      </c>
      <c r="G328" s="21">
        <f>C328/B328</f>
      </c>
      <c r="H328" t="n" s="17">
        <v>1.0</v>
      </c>
      <c r="I328" t="n" s="17">
        <v>47.0</v>
      </c>
      <c r="J328" s="23">
        <f>I328/F328</f>
      </c>
      <c r="K328" t="n" s="17">
        <v>113.0</v>
      </c>
      <c r="L328" s="23">
        <f>K328/F328</f>
      </c>
      <c r="M328" t="n" s="16">
        <v>6.0</v>
      </c>
      <c r="N328" t="n" s="16">
        <v>86.0</v>
      </c>
      <c r="O328" s="21">
        <f>N328/F328</f>
      </c>
      <c r="P328" t="n" s="16">
        <v>69.0</v>
      </c>
      <c r="Q328" s="21">
        <f>P328/F328</f>
      </c>
      <c r="R328" t="n" s="17">
        <v>7.0</v>
      </c>
      <c r="S328" t="n" s="17">
        <v>50.0</v>
      </c>
      <c r="T328" s="23">
        <f>S328/F328</f>
      </c>
      <c r="U328" t="n" s="17">
        <v>104.0</v>
      </c>
      <c r="V328" s="23">
        <f>U328/F328</f>
      </c>
    </row>
    <row r="329">
      <c r="A329" t="s" s="16">
        <v>328</v>
      </c>
      <c r="B329" t="n" s="16">
        <v>438.0</v>
      </c>
      <c r="C329" t="n" s="16">
        <v>183.0</v>
      </c>
      <c r="D329" t="n" s="16">
        <v>0.0</v>
      </c>
      <c r="E329" t="n" s="16">
        <v>1.0</v>
      </c>
      <c r="F329" t="n" s="16">
        <v>182.0</v>
      </c>
      <c r="G329" s="21">
        <f>C329/B329</f>
      </c>
      <c r="H329" t="n" s="17">
        <v>4.0</v>
      </c>
      <c r="I329" t="n" s="17">
        <v>29.0</v>
      </c>
      <c r="J329" s="23">
        <f>I329/F329</f>
      </c>
      <c r="K329" t="n" s="17">
        <v>149.0</v>
      </c>
      <c r="L329" s="23">
        <f>K329/F329</f>
      </c>
      <c r="M329" t="n" s="16">
        <v>7.0</v>
      </c>
      <c r="N329" t="n" s="16">
        <v>117.0</v>
      </c>
      <c r="O329" s="21">
        <f>N329/F329</f>
      </c>
      <c r="P329" t="n" s="16">
        <v>58.0</v>
      </c>
      <c r="Q329" s="21">
        <f>P329/F329</f>
      </c>
      <c r="R329" t="n" s="17">
        <v>14.0</v>
      </c>
      <c r="S329" t="n" s="17">
        <v>30.0</v>
      </c>
      <c r="T329" s="23">
        <f>S329/F329</f>
      </c>
      <c r="U329" t="n" s="17">
        <v>138.0</v>
      </c>
      <c r="V329" s="23">
        <f>U329/F329</f>
      </c>
    </row>
    <row r="330">
      <c r="A330" t="s" s="16">
        <v>329</v>
      </c>
      <c r="B330" t="n" s="16">
        <v>10009.0</v>
      </c>
      <c r="C330" t="n" s="16">
        <v>5209.0</v>
      </c>
      <c r="D330" t="n" s="16">
        <v>255.0</v>
      </c>
      <c r="E330" t="n" s="16">
        <v>3.0</v>
      </c>
      <c r="F330" t="n" s="16">
        <v>5206.0</v>
      </c>
      <c r="G330" s="21">
        <f>C330/B330</f>
      </c>
      <c r="H330" t="n" s="17">
        <v>50.0</v>
      </c>
      <c r="I330" t="n" s="17">
        <v>3220.0</v>
      </c>
      <c r="J330" s="23">
        <f>I330/F330</f>
      </c>
      <c r="K330" t="n" s="17">
        <v>1681.0</v>
      </c>
      <c r="L330" s="23">
        <f>K330/F330</f>
      </c>
      <c r="M330" t="n" s="16">
        <v>115.0</v>
      </c>
      <c r="N330" t="n" s="16">
        <v>1849.0</v>
      </c>
      <c r="O330" s="21">
        <f>N330/F330</f>
      </c>
      <c r="P330" t="n" s="16">
        <v>2987.0</v>
      </c>
      <c r="Q330" s="21">
        <f>P330/F330</f>
      </c>
      <c r="R330" t="n" s="17">
        <v>159.0</v>
      </c>
      <c r="S330" t="n" s="17">
        <v>3026.0</v>
      </c>
      <c r="T330" s="23">
        <f>S330/F330</f>
      </c>
      <c r="U330" t="n" s="17">
        <v>1766.0</v>
      </c>
      <c r="V330" s="23">
        <f>U330/F330</f>
      </c>
    </row>
    <row r="331">
      <c r="A331" t="s" s="16">
        <v>330</v>
      </c>
      <c r="B331" t="n" s="16">
        <v>518.0</v>
      </c>
      <c r="C331" t="n" s="16">
        <v>266.0</v>
      </c>
      <c r="D331" t="n" s="16">
        <v>0.0</v>
      </c>
      <c r="E331" t="n" s="16">
        <v>0.0</v>
      </c>
      <c r="F331" t="n" s="16">
        <v>266.0</v>
      </c>
      <c r="G331" s="21">
        <f>C331/B331</f>
      </c>
      <c r="H331" t="n" s="17">
        <v>10.0</v>
      </c>
      <c r="I331" t="n" s="17">
        <v>122.0</v>
      </c>
      <c r="J331" s="23">
        <f>I331/F331</f>
      </c>
      <c r="K331" t="n" s="17">
        <v>134.0</v>
      </c>
      <c r="L331" s="23">
        <f>K331/F331</f>
      </c>
      <c r="M331" t="n" s="16">
        <v>13.0</v>
      </c>
      <c r="N331" t="n" s="16">
        <v>132.0</v>
      </c>
      <c r="O331" s="21">
        <f>N331/F331</f>
      </c>
      <c r="P331" t="n" s="16">
        <v>121.0</v>
      </c>
      <c r="Q331" s="21">
        <f>P331/F331</f>
      </c>
      <c r="R331" t="n" s="17">
        <v>16.0</v>
      </c>
      <c r="S331" t="n" s="17">
        <v>131.0</v>
      </c>
      <c r="T331" s="23">
        <f>S331/F331</f>
      </c>
      <c r="U331" t="n" s="17">
        <v>119.0</v>
      </c>
      <c r="V331" s="23">
        <f>U331/F331</f>
      </c>
    </row>
    <row r="332">
      <c r="A332" t="s" s="18">
        <v>318</v>
      </c>
      <c r="B332" s="19">
        <f>SUM(B320:B331)</f>
      </c>
      <c r="C332" s="19">
        <f>SUM(C320:C331)</f>
      </c>
      <c r="D332" s="19">
        <f>SUM(D320:D331)</f>
      </c>
      <c r="E332" s="19">
        <f>SUM(E320:E331)</f>
      </c>
      <c r="F332" s="19">
        <f>SUM(F320:F331)</f>
      </c>
      <c r="G332" s="22">
        <f>C332/B332</f>
      </c>
      <c r="H332" s="19">
        <f>SUM(H320:H331)</f>
      </c>
      <c r="I332" s="19">
        <f>SUM(I320:I331)</f>
      </c>
      <c r="J332" s="22">
        <f>I332/F332</f>
      </c>
      <c r="K332" s="19">
        <f>SUM(K320:K331)</f>
      </c>
      <c r="L332" s="22">
        <f>K332/F332</f>
      </c>
      <c r="M332" s="19">
        <f>SUM(M320:M331)</f>
      </c>
      <c r="N332" s="19">
        <f>SUM(N320:N331)</f>
      </c>
      <c r="O332" s="22">
        <f>N332/F332</f>
      </c>
      <c r="P332" s="19">
        <f>SUM(P320:P331)</f>
      </c>
      <c r="Q332" s="22">
        <f>P332/F332</f>
      </c>
      <c r="R332" s="19">
        <f>SUM(R320:R331)</f>
      </c>
      <c r="S332" s="19">
        <f>SUM(S320:S331)</f>
      </c>
      <c r="T332" s="22">
        <f>S332/F332</f>
      </c>
      <c r="U332" s="19">
        <f>SUM(U320:U331)</f>
      </c>
      <c r="V332" s="22">
        <f>U332/F332</f>
      </c>
    </row>
    <row r="333"/>
    <row r="334"/>
    <row r="335">
      <c r="A335" t="s" s="19">
        <v>0</v>
      </c>
      <c r="B335" s="19">
        <f>B20+B54+B93+B169+B178+B197+B256+B306+B317+B332</f>
      </c>
      <c r="C335" s="19">
        <f>C20+C54+C93+C169+C178+C197+C256+C306+C317+C332</f>
      </c>
      <c r="D335" s="19">
        <f>D20+D54+D93+D169+D178+D197+D256+D306+D317+D332</f>
      </c>
      <c r="E335" s="19">
        <f>E20+E54+E93+E169+E178+E197+E256+E306+E317+E332</f>
      </c>
      <c r="F335" s="19">
        <f>F20+F54+F93+F169+F178+F197+F256+F306+F317+F332</f>
      </c>
      <c r="G335" s="22">
        <f>C335/B335</f>
      </c>
      <c r="H335" s="19">
        <f>H20+H54+H93+H169+H178+H197+H256+H306+H317+H332</f>
      </c>
      <c r="I335" s="19">
        <f>I20+I54+I93+I169+I178+I197+I256+I306+I317+I332</f>
      </c>
      <c r="J335" s="22">
        <f>I335/F335</f>
      </c>
      <c r="K335" s="19">
        <f>K20+K54+K93+K169+K178+K197+K256+K306+K317+K332</f>
      </c>
      <c r="L335" s="22">
        <f>K335/F335</f>
      </c>
      <c r="M335" s="19">
        <f>M20+M54+M93+M169+M178+M197+M256+M306+M317+M332</f>
      </c>
      <c r="N335" s="19">
        <f>N20+N54+N93+N169+N178+N197+N256+N306+N317+N332</f>
      </c>
      <c r="O335" s="22">
        <f>N335/F335</f>
      </c>
      <c r="P335" s="19">
        <f>P20+P54+P93+P169+P178+P197+P256+P306+P317+P332</f>
      </c>
      <c r="Q335" s="22">
        <f>P335/F335</f>
      </c>
      <c r="R335" s="19">
        <f>R20+R54+R93+R169+R178+R197+R256+R306+R317+R332</f>
      </c>
      <c r="S335" s="19">
        <f>S20+S54+S93+S169+S178+S197+S256+S306+S317+S332</f>
      </c>
      <c r="T335" s="22">
        <f>S335/F335</f>
      </c>
      <c r="U335" s="19">
        <f>U20+U54+U93+U169+U178+U197+U256+U306+U317+U332</f>
      </c>
      <c r="V335" s="22">
        <f>U335/F335</f>
      </c>
    </row>
  </sheetData>
  <mergeCells count="4">
    <mergeCell ref="A1:G1"/>
    <mergeCell ref="H1:L1"/>
    <mergeCell ref="M1:Q1"/>
    <mergeCell ref="R1:V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 xml:space="preserve">&amp;LCanton de Vaud&amp;CVotation(s) 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Résultats du</vt:lpstr>
      <vt:lpstr>Modèle</vt:lpstr>
      <vt:lpstr>'Résultats du'!Print_Titles</vt:lpstr>
    </vt:vector>
  </TitlesOfParts>
  <Company>Etat De Vaud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Maillefer Jean-David</cp:lastModifiedBy>
  <cp:lastPrinted>2010-12-15T13:40:49Z</cp:lastPrinted>
  <dcterms:modified xsi:type="dcterms:W3CDTF">2017-04-13T08:22:21Z</dcterms:modified>
</cp:coreProperties>
</file>