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>
    <mc:Choice Requires="x15">
      <x15ac:absPath xmlns:x15ac="http://schemas.microsoft.com/office/spreadsheetml/2010/11/ac" url="C:\Projects\Votelec\git\code\votelec-publication\src\main\resources\templates\xlsx\votation\"/>
    </mc:Choice>
  </mc:AlternateContent>
  <xr:revisionPtr revIDLastSave="0" documentId="13_ncr:1_{6E8DEA34-87C7-46B9-B29D-04A701122EE4}" xr6:coauthVersionLast="47" xr6:coauthVersionMax="47" xr10:uidLastSave="{00000000-0000-0000-0000-000000000000}"/>
  <bookViews>
    <workbookView xWindow="2730" yWindow="2730" windowWidth="22605" windowHeight="12675" xr2:uid="{00000000-000D-0000-FFFF-FFFF00000000}"/>
  </bookViews>
  <sheets>
    <sheet name="Résultats du 14.06.2026" sheetId="7" r:id="rId1"/>
  </sheets>
  <definedNames>
    <definedName name="_xlnm.Print_Titles" localSheetId="0">'Résultats du 14.06.2026'!$A$1:$XFD$2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<sst xmlns="http://schemas.openxmlformats.org/spreadsheetml/2006/main" count="379" uniqueCount="326">
  <si>
    <t>Electeurs inscrits</t>
  </si>
  <si>
    <t>Bulletins rentrés</t>
  </si>
  <si>
    <t>OUI</t>
  </si>
  <si>
    <t>NON</t>
  </si>
  <si>
    <t>Communes</t>
  </si>
  <si>
    <t>Part. 
en %</t>
  </si>
  <si>
    <t>Blancs</t>
  </si>
  <si>
    <t>Nuls</t>
  </si>
  <si>
    <t>Valables</t>
  </si>
  <si>
    <t>%</t>
  </si>
  <si>
    <t>Canton de Vaud</t>
  </si>
  <si>
    <t xml:space="preserve">District </t>
  </si>
  <si>
    <t xml:space="preserve">Objet N° </t>
  </si>
  <si>
    <t>(en cours de dépouillement)</t>
  </si>
  <si>
    <t/>
  </si>
  <si>
    <t xml:space="preserve">Objet N° 01 : Initiative constitutionnelle «salaire minimum cantonal» </t>
  </si>
  <si>
    <t>District Aigle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</si>
  <si>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</si>
  <si>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</si>
  <si>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</si>
  <si>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</si>
  <si>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</si>
  <si>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</si>
  <si>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</si>
  <si>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</si>
  <si>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 VD</t>
  </si>
  <si>
    <t>Ormont-Dessous</t>
  </si>
  <si>
    <t>Ormont-Dessus</t>
  </si>
  <si>
    <t>Rennaz</t>
  </si>
  <si>
    <t>Roche VD</t>
  </si>
  <si>
    <t>Villeneuve VD</t>
  </si>
  <si>
    <t>Yvorne</t>
  </si>
  <si>
    <t>District Broye - Vully</t>
  </si>
  <si>
    <t>Avenches</t>
  </si>
  <si>
    <t>Bussy-sur-Moudon</t>
  </si>
  <si>
    <t>Champtauroz</t>
  </si>
  <si>
    <t>Chavannes-sur-Moudon</t>
  </si>
  <si>
    <t>Chevroux</t>
  </si>
  <si>
    <t>Corcelles-le-Jorat</t>
  </si>
  <si>
    <t>Corcelles-près-Payerne</t>
  </si>
  <si>
    <t>Cudrefin</t>
  </si>
  <si>
    <t>Curtilles</t>
  </si>
  <si>
    <t>Dompierre VD</t>
  </si>
  <si>
    <t>Faoug</t>
  </si>
  <si>
    <t>Grandcour</t>
  </si>
  <si>
    <t>Henniez</t>
  </si>
  <si>
    <t>Hermenches</t>
  </si>
  <si>
    <t>Lovatens</t>
  </si>
  <si>
    <t>Lucens</t>
  </si>
  <si>
    <t>Missy</t>
  </si>
  <si>
    <t>Moudon</t>
  </si>
  <si>
    <t>Payerne</t>
  </si>
  <si>
    <t>Prévonloup</t>
  </si>
  <si>
    <t>Ropraz</t>
  </si>
  <si>
    <t>Rossenges</t>
  </si>
  <si>
    <t>Syens</t>
  </si>
  <si>
    <t>Trey</t>
  </si>
  <si>
    <t>Treytorrens (Payerne)</t>
  </si>
  <si>
    <t>Valbroye</t>
  </si>
  <si>
    <t>Villars-le-Comte</t>
  </si>
  <si>
    <t>Villarzel</t>
  </si>
  <si>
    <t>Vucherens</t>
  </si>
  <si>
    <t>Vulliens</t>
  </si>
  <si>
    <t>Vully-les-Lacs</t>
  </si>
  <si>
    <t>District Gros-de-Vaud</t>
  </si>
  <si>
    <t>Assens</t>
  </si>
  <si>
    <t>Bercher</t>
  </si>
  <si>
    <t>Bettens</t>
  </si>
  <si>
    <t>Bottens</t>
  </si>
  <si>
    <t>Boulens</t>
  </si>
  <si>
    <t>Bournens</t>
  </si>
  <si>
    <t>Boussens</t>
  </si>
  <si>
    <t>Bretigny-sur-Morrens</t>
  </si>
  <si>
    <t>Cugy VD</t>
  </si>
  <si>
    <t>Daillens</t>
  </si>
  <si>
    <t>Echallens</t>
  </si>
  <si>
    <t>Essertines-sur-Yverdon</t>
  </si>
  <si>
    <t>Etagnières</t>
  </si>
  <si>
    <t>Fey</t>
  </si>
  <si>
    <t>Froideville</t>
  </si>
  <si>
    <t>Goumoëns</t>
  </si>
  <si>
    <t>Jorat-Menthue</t>
  </si>
  <si>
    <t>Lussery-Villars</t>
  </si>
  <si>
    <t>Mex VD</t>
  </si>
  <si>
    <t>Montanaire</t>
  </si>
  <si>
    <t>Montilliez</t>
  </si>
  <si>
    <t>Morrens VD</t>
  </si>
  <si>
    <t>Ogens</t>
  </si>
  <si>
    <t>Oppens</t>
  </si>
  <si>
    <t>Oulens-sous-Echallens</t>
  </si>
  <si>
    <t>Pailly</t>
  </si>
  <si>
    <t>Penthalaz</t>
  </si>
  <si>
    <t>Penthaz</t>
  </si>
  <si>
    <t>Penthéréaz</t>
  </si>
  <si>
    <t>Poliez-Pittet</t>
  </si>
  <si>
    <t>Rueyres</t>
  </si>
  <si>
    <t>Saint-Barthélemy VD</t>
  </si>
  <si>
    <t>Sullens</t>
  </si>
  <si>
    <t>Villars-le-Terroir</t>
  </si>
  <si>
    <t>Vuarrens</t>
  </si>
  <si>
    <t>Vufflens-la-Ville</t>
  </si>
  <si>
    <t>District Jura - Nord vaudois</t>
  </si>
  <si>
    <t>Agiez</t>
  </si>
  <si>
    <t>Arnex-sur-Orbe</t>
  </si>
  <si>
    <t>Ballaigues</t>
  </si>
  <si>
    <t>Baulmes</t>
  </si>
  <si>
    <t>Bavois</t>
  </si>
  <si>
    <t>Belmont-sur-Yverdon</t>
  </si>
  <si>
    <t>Bioley-Magnoux</t>
  </si>
  <si>
    <t>Bofflens</t>
  </si>
  <si>
    <t>Bonvillars</t>
  </si>
  <si>
    <t>Bretonnières</t>
  </si>
  <si>
    <t>Bullet</t>
  </si>
  <si>
    <t>Chamblon</t>
  </si>
  <si>
    <t>Champagne</t>
  </si>
  <si>
    <t>Champvent</t>
  </si>
  <si>
    <t>Chavannes-le-Chêne</t>
  </si>
  <si>
    <t>Chavornay</t>
  </si>
  <si>
    <t>Cheseaux-Noréaz</t>
  </si>
  <si>
    <t>Chêne-Pâquier</t>
  </si>
  <si>
    <t>Concise</t>
  </si>
  <si>
    <t>Corcelles-près-Concise</t>
  </si>
  <si>
    <t>Cronay</t>
  </si>
  <si>
    <t>Croy</t>
  </si>
  <si>
    <t>Cuarny</t>
  </si>
  <si>
    <t>Donneloye</t>
  </si>
  <si>
    <t>Démoret</t>
  </si>
  <si>
    <t>Ependes VD</t>
  </si>
  <si>
    <t>Fiez</t>
  </si>
  <si>
    <t>Fontaines-sur-Grandson</t>
  </si>
  <si>
    <t>Giez</t>
  </si>
  <si>
    <t>Grandevent</t>
  </si>
  <si>
    <t>Grandson</t>
  </si>
  <si>
    <t>Juriens</t>
  </si>
  <si>
    <t>L'Abbaye</t>
  </si>
  <si>
    <t>L'Abergement</t>
  </si>
  <si>
    <t>La Praz</t>
  </si>
  <si>
    <t>Le Chenit</t>
  </si>
  <si>
    <t>Le Lieu</t>
  </si>
  <si>
    <t>Les Clées</t>
  </si>
  <si>
    <t>Lignerolle</t>
  </si>
  <si>
    <t>Mathod</t>
  </si>
  <si>
    <t>Mauborget</t>
  </si>
  <si>
    <t>Molondin</t>
  </si>
  <si>
    <t>Montagny-près-Yverdon</t>
  </si>
  <si>
    <t>Montcherand</t>
  </si>
  <si>
    <t>Mutrux</t>
  </si>
  <si>
    <t>Novalles</t>
  </si>
  <si>
    <t>Onnens VD</t>
  </si>
  <si>
    <t>Orbe</t>
  </si>
  <si>
    <t>Orges</t>
  </si>
  <si>
    <t>Orzens</t>
  </si>
  <si>
    <t>Pomy</t>
  </si>
  <si>
    <t>Premier</t>
  </si>
  <si>
    <t>Provence</t>
  </si>
  <si>
    <t>Rances</t>
  </si>
  <si>
    <t>Romainmôtier-Envy</t>
  </si>
  <si>
    <t>Rovray</t>
  </si>
  <si>
    <t>Sainte-Croix</t>
  </si>
  <si>
    <t>Sergey</t>
  </si>
  <si>
    <t>Suchy</t>
  </si>
  <si>
    <t>Suscévaz</t>
  </si>
  <si>
    <t>Treycovagnes</t>
  </si>
  <si>
    <t>Tévenon</t>
  </si>
  <si>
    <t>Ursins</t>
  </si>
  <si>
    <t>Valeyres-sous-Montagny</t>
  </si>
  <si>
    <t>Valeyres-sous-Rances</t>
  </si>
  <si>
    <t>Valeyres-sous-Ursins</t>
  </si>
  <si>
    <t>Vallorbe</t>
  </si>
  <si>
    <t>Vaulion</t>
  </si>
  <si>
    <t>Villars-Epeney</t>
  </si>
  <si>
    <t>Vugelles-La Mothe</t>
  </si>
  <si>
    <t>Vuiteboeuf</t>
  </si>
  <si>
    <t>Yverdon-les-Bains</t>
  </si>
  <si>
    <t>Yvonand</t>
  </si>
  <si>
    <t>District Lausanne</t>
  </si>
  <si>
    <t>Cheseaux-sur-Lausanne</t>
  </si>
  <si>
    <t>Epalinges</t>
  </si>
  <si>
    <t>Jouxtens-Mézery</t>
  </si>
  <si>
    <t>Lausanne</t>
  </si>
  <si>
    <t>Le Mont-sur-Lausanne</t>
  </si>
  <si>
    <t>Romanel-sur-Lausanne</t>
  </si>
  <si>
    <t>District Lavaux - Oron</t>
  </si>
  <si>
    <t>Belmont-sur-Lausanne</t>
  </si>
  <si>
    <t>Bourg-en-Lavaux</t>
  </si>
  <si>
    <t>Chexbres</t>
  </si>
  <si>
    <t>Forel (Lavaux)</t>
  </si>
  <si>
    <t>Jorat-Mézières</t>
  </si>
  <si>
    <t>Lutry</t>
  </si>
  <si>
    <t>Maracon</t>
  </si>
  <si>
    <t>Montpreveyres</t>
  </si>
  <si>
    <t>Oron</t>
  </si>
  <si>
    <t>Paudex</t>
  </si>
  <si>
    <t>Puidoux</t>
  </si>
  <si>
    <t>Pully</t>
  </si>
  <si>
    <t>Rivaz</t>
  </si>
  <si>
    <t>Saint-Saphorin (Lavaux)</t>
  </si>
  <si>
    <t>Savigny</t>
  </si>
  <si>
    <t>Servion</t>
  </si>
  <si>
    <t>District Morges</t>
  </si>
  <si>
    <t>Aclens</t>
  </si>
  <si>
    <t>Allaman</t>
  </si>
  <si>
    <t>Aubonne</t>
  </si>
  <si>
    <t>Ballens</t>
  </si>
  <si>
    <t>Berolle</t>
  </si>
  <si>
    <t>Bière</t>
  </si>
  <si>
    <t>Bougy-Villars</t>
  </si>
  <si>
    <t>Bremblens</t>
  </si>
  <si>
    <t>Buchillon</t>
  </si>
  <si>
    <t>Chavannes-le-Veyron</t>
  </si>
  <si>
    <t>Chevilly</t>
  </si>
  <si>
    <t>Chigny</t>
  </si>
  <si>
    <t>Clarmont</t>
  </si>
  <si>
    <t>Cossonay</t>
  </si>
  <si>
    <t>Cuarnens</t>
  </si>
  <si>
    <t>Denens</t>
  </si>
  <si>
    <t>Denges</t>
  </si>
  <si>
    <t>Dizy</t>
  </si>
  <si>
    <t>Echandens</t>
  </si>
  <si>
    <t>Echichens</t>
  </si>
  <si>
    <t>Eclépens</t>
  </si>
  <si>
    <t>Etoy</t>
  </si>
  <si>
    <t>Ferreyres</t>
  </si>
  <si>
    <t>Féchy</t>
  </si>
  <si>
    <t>Gimel</t>
  </si>
  <si>
    <t>Gollion</t>
  </si>
  <si>
    <t>Grancy</t>
  </si>
  <si>
    <t>Hautemorges</t>
  </si>
  <si>
    <t>L'Isle</t>
  </si>
  <si>
    <t>La Chaux (Cossonay)</t>
  </si>
  <si>
    <t>La Sarraz</t>
  </si>
  <si>
    <t>Lavigny</t>
  </si>
  <si>
    <t>Lonay</t>
  </si>
  <si>
    <t>Lully VD</t>
  </si>
  <si>
    <t>Lussy-sur-Morges</t>
  </si>
  <si>
    <t>Mauraz</t>
  </si>
  <si>
    <t>Moiry VD</t>
  </si>
  <si>
    <t>Mollens VD</t>
  </si>
  <si>
    <t>Mont-la-Ville</t>
  </si>
  <si>
    <t>Montricher</t>
  </si>
  <si>
    <t>Morges</t>
  </si>
  <si>
    <t>Orny</t>
  </si>
  <si>
    <t>Pompaples</t>
  </si>
  <si>
    <t>Préverenges</t>
  </si>
  <si>
    <t>Romanel-sur-Morges</t>
  </si>
  <si>
    <t>Saint-Livres</t>
  </si>
  <si>
    <t>Saint-Oyens</t>
  </si>
  <si>
    <t>Saint-Prex</t>
  </si>
  <si>
    <t>Saubraz</t>
  </si>
  <si>
    <t>Senarclens</t>
  </si>
  <si>
    <t>Tolochenaz</t>
  </si>
  <si>
    <t>Vaux-sur-Morges</t>
  </si>
  <si>
    <t>Villars-sous-Yens</t>
  </si>
  <si>
    <t>Vufflens-le-Château</t>
  </si>
  <si>
    <t>Vullierens</t>
  </si>
  <si>
    <t>Yens</t>
  </si>
  <si>
    <t>District Nyon</t>
  </si>
  <si>
    <t>Arnex-sur-Nyon</t>
  </si>
  <si>
    <t>Arzier - Le Muids</t>
  </si>
  <si>
    <t>Bassins</t>
  </si>
  <si>
    <t>Begnins</t>
  </si>
  <si>
    <t>Bogis-Bossey</t>
  </si>
  <si>
    <t>Borex</t>
  </si>
  <si>
    <t>Bursinel</t>
  </si>
  <si>
    <t>Bursins</t>
  </si>
  <si>
    <t>Burtigny</t>
  </si>
  <si>
    <t>Chavannes-de-Bogis</t>
  </si>
  <si>
    <t>Chavannes-des-Bois</t>
  </si>
  <si>
    <t>Chéserex</t>
  </si>
  <si>
    <t>Coinsins</t>
  </si>
  <si>
    <t>Commugny</t>
  </si>
  <si>
    <t>Coppet</t>
  </si>
  <si>
    <t>Crans</t>
  </si>
  <si>
    <t>Crassier</t>
  </si>
  <si>
    <t>Duillier</t>
  </si>
  <si>
    <t>Dully</t>
  </si>
  <si>
    <t>Essertines-sur-Rolle</t>
  </si>
  <si>
    <t>Eysins</t>
  </si>
  <si>
    <t>Founex</t>
  </si>
  <si>
    <t>Genolier</t>
  </si>
  <si>
    <t>Gilly</t>
  </si>
  <si>
    <t>Gingins</t>
  </si>
  <si>
    <t>Givrins</t>
  </si>
  <si>
    <t>Gland</t>
  </si>
  <si>
    <t>Grens</t>
  </si>
  <si>
    <t>La Rippe</t>
  </si>
  <si>
    <t>Le Vaud</t>
  </si>
  <si>
    <t>Longirod</t>
  </si>
  <si>
    <t>Luins</t>
  </si>
  <si>
    <t>Marchissy</t>
  </si>
  <si>
    <t>Mies</t>
  </si>
  <si>
    <t>Mont-sur-Rolle</t>
  </si>
  <si>
    <t>Nyon</t>
  </si>
  <si>
    <t>Perroy</t>
  </si>
  <si>
    <t>Prangins</t>
  </si>
  <si>
    <t>Rolle</t>
  </si>
  <si>
    <t>Saint-Cergue</t>
  </si>
  <si>
    <t>Saint-George</t>
  </si>
  <si>
    <t>Signy-Avenex</t>
  </si>
  <si>
    <t>Tannay</t>
  </si>
  <si>
    <t>Tartegnin</t>
  </si>
  <si>
    <t>Trélex</t>
  </si>
  <si>
    <t>Vich</t>
  </si>
  <si>
    <t>Vinzel</t>
  </si>
  <si>
    <t>District Ouest lausannois</t>
  </si>
  <si>
    <t>Bussigny</t>
  </si>
  <si>
    <t>Chavannes-près-Renens</t>
  </si>
  <si>
    <t>Crissier</t>
  </si>
  <si>
    <t>Ecublens VD</t>
  </si>
  <si>
    <t>Prilly</t>
  </si>
  <si>
    <t>Renens VD</t>
  </si>
  <si>
    <t>Saint-Sulpice</t>
  </si>
  <si>
    <t>Villars-Sainte-Croix</t>
  </si>
  <si>
    <t>District Riviera - Pays-d'Enhaut</t>
  </si>
  <si>
    <t>Blonay - Saint-Légier</t>
  </si>
  <si>
    <t>Chardonne</t>
  </si>
  <si>
    <t>Château-d'Oex</t>
  </si>
  <si>
    <t>Corseaux</t>
  </si>
  <si>
    <t>Corsier-sur-Vevey</t>
  </si>
  <si>
    <t>Jongny</t>
  </si>
  <si>
    <t>La Tour-de-Peilz</t>
  </si>
  <si>
    <t>Montreux</t>
  </si>
  <si>
    <t>Rossinière</t>
  </si>
  <si>
    <t>Rougemont</t>
  </si>
  <si>
    <t>Vevey</t>
  </si>
  <si>
    <t>Veytaux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</si>
</sst>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0"/>
      <name val="Arial"/>
    </font>
    <font>
      <sz val="10"/>
      <color indexed="8"/>
      <name val="MS Sans Serif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2" fontId="2" fillId="0" borderId="0" xfId="0" applyNumberFormat="1" applyFont="1" applyAlignment="1">
      <alignment vertical="center" wrapText="1"/>
    </xf>
    <xf numFmtId="0" fontId="0" fillId="0" borderId="0" xfId="0" applyAlignment="1">
      <alignment horizontal="right" vertical="center" wrapText="1"/>
    </xf>
    <xf numFmtId="10" fontId="3" fillId="0" borderId="0" xfId="0" applyNumberFormat="1" applyFont="1" applyAlignment="1">
      <alignment vertical="center" wrapText="1"/>
    </xf>
    <xf numFmtId="10" fontId="3" fillId="2" borderId="0" xfId="0" applyNumberFormat="1" applyFont="1" applyFill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Normal" xfId="0" builtinId="0"/>
    <cellStyle name="Standard_i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5"/>
  <sheetViews>
    <sheetView tabSelected="1" zoomScaleNormal="100" workbookViewId="0">
      <pane ySplit="2" topLeftCell="A3" activePane="bottomLeft" state="frozen"/>
      <selection pane="bottomLeft" activeCell="L17" sqref="L17"/>
    </sheetView>
  </sheetViews>
  <sheetFormatPr defaultRowHeight="12.75" x14ac:dyDescent="0.2"/>
  <cols>
    <col min="1" max="1" bestFit="true" customWidth="true" style="6" width="25.0"/>
    <col min="2" max="11" customWidth="true" style="11" width="8.7109375"/>
  </cols>
  <sheetData>
    <row r="1">
      <c r="A1" t="s" s="17">
        <v>15</v>
      </c>
      <c r="B1" t="s" s="17">
        <v>14</v>
      </c>
      <c r="C1" t="s" s="17">
        <v>14</v>
      </c>
      <c r="D1" t="s" s="17">
        <v>14</v>
      </c>
      <c r="E1" t="s" s="17">
        <v>14</v>
      </c>
      <c r="F1" t="s" s="17">
        <v>14</v>
      </c>
      <c r="G1" t="s" s="17">
        <v>14</v>
      </c>
      <c r="H1" t="s" s="17">
        <v>14</v>
      </c>
      <c r="I1" t="s" s="17">
        <v>14</v>
      </c>
      <c r="J1" t="s" s="17">
        <v>14</v>
      </c>
      <c r="K1" t="s" s="17">
        <v>14</v>
      </c>
      <c r="L1" t="s" s="17">
        <v>14</v>
      </c>
    </row>
    <row r="2">
      <c r="A2" t="s" s="1">
        <v>4</v>
      </c>
      <c r="B2" t="s" s="2">
        <v>0</v>
      </c>
      <c r="C2" t="s" s="2">
        <v>1</v>
      </c>
      <c r="D2" t="s" s="2">
        <v>7</v>
      </c>
      <c r="E2" t="s" s="2">
        <v>8</v>
      </c>
      <c r="F2" t="s" s="2">
        <v>6</v>
      </c>
      <c r="G2" t="s" s="3">
        <v>9</v>
      </c>
      <c r="H2" t="s" s="2">
        <v>2</v>
      </c>
      <c r="I2" t="s" s="3">
        <v>9</v>
      </c>
      <c r="J2" t="s" s="2">
        <v>3</v>
      </c>
      <c r="K2" t="s" s="3">
        <v>9</v>
      </c>
      <c r="L2" t="s" s="3">
        <v>5</v>
      </c>
    </row>
    <row r="3"/>
    <row r="4">
      <c r="A4" t="s" s="7">
        <v>16</v>
      </c>
    </row>
    <row r="5">
      <c r="A5" t="s" s="4">
        <v>17</v>
      </c>
      <c r="B5" t="n" s="4">
        <v>5438.0</v>
      </c>
      <c r="C5" t="n" s="4">
        <v>2715.0</v>
      </c>
      <c r="D5" t="n" s="4">
        <v>0.0</v>
      </c>
      <c r="E5" t="n" s="4">
        <v>2715.0</v>
      </c>
      <c r="F5" t="n" s="4">
        <v>197.0</v>
      </c>
      <c r="G5" s="12">
        <f>F5/E5</f>
      </c>
      <c r="H5" t="n" s="4">
        <v>1276.0</v>
      </c>
      <c r="I5" s="12">
        <f>H5/E5</f>
      </c>
      <c r="J5" t="n" s="4">
        <v>1242.0</v>
      </c>
      <c r="K5" s="12">
        <f>J5/E5</f>
      </c>
      <c r="L5" s="12">
        <f>C5/B5</f>
      </c>
    </row>
    <row r="6">
      <c r="A6" t="s" s="8">
        <v>18</v>
      </c>
      <c r="B6" t="n" s="8">
        <v>4605.0</v>
      </c>
      <c r="C6" t="n" s="8">
        <v>2280.0</v>
      </c>
      <c r="D6" t="n" s="8">
        <v>0.0</v>
      </c>
      <c r="E6" t="n" s="8">
        <v>2280.0</v>
      </c>
      <c r="F6" t="n" s="8">
        <v>138.0</v>
      </c>
      <c r="G6" s="13">
        <f>F6/E6</f>
      </c>
      <c r="H6" t="n" s="8">
        <v>1140.0</v>
      </c>
      <c r="I6" s="13">
        <f>H6/E6</f>
      </c>
      <c r="J6" t="n" s="8">
        <v>1002.0</v>
      </c>
      <c r="K6" s="13">
        <f>J6/E6</f>
      </c>
      <c r="L6" s="13">
        <f>C6/B6</f>
      </c>
    </row>
    <row r="7">
      <c r="A7" t="s" s="4">
        <v>19</v>
      </c>
      <c r="B7" t="n" s="4">
        <v>312.0</v>
      </c>
      <c r="C7" t="n" s="4">
        <v>177.0</v>
      </c>
      <c r="D7" t="n" s="4">
        <v>2.0</v>
      </c>
      <c r="E7" t="n" s="4">
        <v>175.0</v>
      </c>
      <c r="F7" t="n" s="4">
        <v>3.0</v>
      </c>
      <c r="G7" s="12">
        <f>F7/E7</f>
      </c>
      <c r="H7" t="n" s="4">
        <v>75.0</v>
      </c>
      <c r="I7" s="12">
        <f>H7/E7</f>
      </c>
      <c r="J7" t="n" s="4">
        <v>97.0</v>
      </c>
      <c r="K7" s="12">
        <f>J7/E7</f>
      </c>
      <c r="L7" s="12">
        <f>C7/B7</f>
      </c>
    </row>
    <row r="8">
      <c r="A8" t="s" s="8">
        <v>20</v>
      </c>
      <c r="B8" t="n" s="8">
        <v>348.0</v>
      </c>
      <c r="C8" t="n" s="8">
        <v>197.0</v>
      </c>
      <c r="D8" t="n" s="8">
        <v>0.0</v>
      </c>
      <c r="E8" t="n" s="8">
        <v>197.0</v>
      </c>
      <c r="F8" t="n" s="8">
        <v>7.0</v>
      </c>
      <c r="G8" s="13">
        <f>F8/E8</f>
      </c>
      <c r="H8" t="n" s="8">
        <v>107.0</v>
      </c>
      <c r="I8" s="13">
        <f>H8/E8</f>
      </c>
      <c r="J8" t="n" s="8">
        <v>83.0</v>
      </c>
      <c r="K8" s="13">
        <f>J8/E8</f>
      </c>
      <c r="L8" s="13">
        <f>C8/B8</f>
      </c>
    </row>
    <row r="9">
      <c r="A9" t="s" s="4">
        <v>21</v>
      </c>
      <c r="B9" t="n" s="4">
        <v>886.0</v>
      </c>
      <c r="C9" t="n" s="4">
        <v>518.0</v>
      </c>
      <c r="D9" t="n" s="4">
        <v>1.0</v>
      </c>
      <c r="E9" t="n" s="4">
        <v>517.0</v>
      </c>
      <c r="F9" t="n" s="4">
        <v>38.0</v>
      </c>
      <c r="G9" s="12">
        <f>F9/E9</f>
      </c>
      <c r="H9" t="n" s="4">
        <v>220.0</v>
      </c>
      <c r="I9" s="12">
        <f>H9/E9</f>
      </c>
      <c r="J9" t="n" s="4">
        <v>259.0</v>
      </c>
      <c r="K9" s="12">
        <f>J9/E9</f>
      </c>
      <c r="L9" s="12">
        <f>C9/B9</f>
      </c>
    </row>
    <row r="10">
      <c r="A10" t="s" s="8">
        <v>22</v>
      </c>
      <c r="B10" t="n" s="8">
        <v>633.0</v>
      </c>
      <c r="C10" t="n" s="8">
        <v>320.0</v>
      </c>
      <c r="D10" t="n" s="8">
        <v>0.0</v>
      </c>
      <c r="E10" t="n" s="8">
        <v>320.0</v>
      </c>
      <c r="F10" t="n" s="8">
        <v>9.0</v>
      </c>
      <c r="G10" s="13">
        <f>F10/E10</f>
      </c>
      <c r="H10" t="n" s="8">
        <v>144.0</v>
      </c>
      <c r="I10" s="13">
        <f>H10/E10</f>
      </c>
      <c r="J10" t="n" s="8">
        <v>167.0</v>
      </c>
      <c r="K10" s="13">
        <f>J10/E10</f>
      </c>
      <c r="L10" s="13">
        <f>C10/B10</f>
      </c>
    </row>
    <row r="11">
      <c r="A11" t="s" s="4">
        <v>23</v>
      </c>
      <c r="B11" t="n" s="4">
        <v>1510.0</v>
      </c>
      <c r="C11" t="n" s="4">
        <v>828.0</v>
      </c>
      <c r="D11" t="n" s="4">
        <v>2.0</v>
      </c>
      <c r="E11" t="n" s="4">
        <v>826.0</v>
      </c>
      <c r="F11" t="n" s="4">
        <v>40.0</v>
      </c>
      <c r="G11" s="12">
        <f>F11/E11</f>
      </c>
      <c r="H11" t="n" s="4">
        <v>406.0</v>
      </c>
      <c r="I11" s="12">
        <f>H11/E11</f>
      </c>
      <c r="J11" t="n" s="4">
        <v>380.0</v>
      </c>
      <c r="K11" s="12">
        <f>J11/E11</f>
      </c>
      <c r="L11" s="12">
        <f>C11/B11</f>
      </c>
    </row>
    <row r="12">
      <c r="A12" t="s" s="8">
        <v>24</v>
      </c>
      <c r="B12" t="n" s="8">
        <v>733.0</v>
      </c>
      <c r="C12" t="n" s="8">
        <v>371.0</v>
      </c>
      <c r="D12" t="n" s="8">
        <v>0.0</v>
      </c>
      <c r="E12" t="n" s="8">
        <v>371.0</v>
      </c>
      <c r="F12" t="n" s="8">
        <v>15.0</v>
      </c>
      <c r="G12" s="13">
        <f>F12/E12</f>
      </c>
      <c r="H12" t="n" s="8">
        <v>153.0</v>
      </c>
      <c r="I12" s="13">
        <f>H12/E12</f>
      </c>
      <c r="J12" t="n" s="8">
        <v>203.0</v>
      </c>
      <c r="K12" s="13">
        <f>J12/E12</f>
      </c>
      <c r="L12" s="13">
        <f>C12/B12</f>
      </c>
    </row>
    <row r="13">
      <c r="A13" t="s" s="4">
        <v>25</v>
      </c>
      <c r="B13" t="n" s="4">
        <v>4387.0</v>
      </c>
      <c r="C13" t="n" s="4">
        <v>2728.0</v>
      </c>
      <c r="D13" t="n" s="4">
        <v>3.0</v>
      </c>
      <c r="E13" t="n" s="4">
        <v>2725.0</v>
      </c>
      <c r="F13" t="n" s="4">
        <v>165.0</v>
      </c>
      <c r="G13" s="12">
        <f>F13/E13</f>
      </c>
      <c r="H13" t="n" s="4">
        <v>1127.0</v>
      </c>
      <c r="I13" s="12">
        <f>H13/E13</f>
      </c>
      <c r="J13" t="n" s="4">
        <v>1433.0</v>
      </c>
      <c r="K13" s="12">
        <f>J13/E13</f>
      </c>
      <c r="L13" s="12">
        <f>C13/B13</f>
      </c>
    </row>
    <row r="14">
      <c r="A14" t="s" s="8">
        <v>26</v>
      </c>
      <c r="B14" t="n" s="8">
        <v>815.0</v>
      </c>
      <c r="C14" t="n" s="8">
        <v>465.0</v>
      </c>
      <c r="D14" t="n" s="8">
        <v>2.0</v>
      </c>
      <c r="E14" t="n" s="8">
        <v>463.0</v>
      </c>
      <c r="F14" t="n" s="8">
        <v>25.0</v>
      </c>
      <c r="G14" s="13">
        <f>F14/E14</f>
      </c>
      <c r="H14" t="n" s="8">
        <v>189.0</v>
      </c>
      <c r="I14" s="13">
        <f>H14/E14</f>
      </c>
      <c r="J14" t="n" s="8">
        <v>249.0</v>
      </c>
      <c r="K14" s="13">
        <f>J14/E14</f>
      </c>
      <c r="L14" s="13">
        <f>C14/B14</f>
      </c>
    </row>
    <row r="15">
      <c r="A15" t="s" s="4">
        <v>27</v>
      </c>
      <c r="B15" t="n" s="4">
        <v>921.0</v>
      </c>
      <c r="C15" t="n" s="4">
        <v>533.0</v>
      </c>
      <c r="D15" t="n" s="4">
        <v>0.0</v>
      </c>
      <c r="E15" t="n" s="4">
        <v>533.0</v>
      </c>
      <c r="F15" t="n" s="4">
        <v>23.0</v>
      </c>
      <c r="G15" s="12">
        <f>F15/E15</f>
      </c>
      <c r="H15" t="n" s="4">
        <v>189.0</v>
      </c>
      <c r="I15" s="12">
        <f>H15/E15</f>
      </c>
      <c r="J15" t="n" s="4">
        <v>321.0</v>
      </c>
      <c r="K15" s="12">
        <f>J15/E15</f>
      </c>
      <c r="L15" s="12">
        <f>C15/B15</f>
      </c>
    </row>
    <row r="16">
      <c r="A16" t="s" s="8">
        <v>28</v>
      </c>
      <c r="B16" t="n" s="8">
        <v>507.0</v>
      </c>
      <c r="C16" t="n" s="8">
        <v>249.0</v>
      </c>
      <c r="D16" t="n" s="8">
        <v>0.0</v>
      </c>
      <c r="E16" t="n" s="8">
        <v>249.0</v>
      </c>
      <c r="F16" t="n" s="8">
        <v>13.0</v>
      </c>
      <c r="G16" s="13">
        <f>F16/E16</f>
      </c>
      <c r="H16" t="n" s="8">
        <v>124.0</v>
      </c>
      <c r="I16" s="13">
        <f>H16/E16</f>
      </c>
      <c r="J16" t="n" s="8">
        <v>112.0</v>
      </c>
      <c r="K16" s="13">
        <f>J16/E16</f>
      </c>
      <c r="L16" s="13">
        <f>C16/B16</f>
      </c>
    </row>
    <row r="17">
      <c r="A17" t="s" s="4">
        <v>29</v>
      </c>
      <c r="B17" t="n" s="4">
        <v>998.0</v>
      </c>
      <c r="C17" t="n" s="4">
        <v>455.0</v>
      </c>
      <c r="D17" t="n" s="4">
        <v>1.0</v>
      </c>
      <c r="E17" t="n" s="4">
        <v>454.0</v>
      </c>
      <c r="F17" t="n" s="4">
        <v>40.0</v>
      </c>
      <c r="G17" s="12">
        <f>F17/E17</f>
      </c>
      <c r="H17" t="n" s="4">
        <v>215.0</v>
      </c>
      <c r="I17" s="12">
        <f>H17/E17</f>
      </c>
      <c r="J17" t="n" s="4">
        <v>199.0</v>
      </c>
      <c r="K17" s="12">
        <f>J17/E17</f>
      </c>
      <c r="L17" s="12">
        <f>C17/B17</f>
      </c>
    </row>
    <row r="18">
      <c r="A18" t="s" s="8">
        <v>30</v>
      </c>
      <c r="B18" t="n" s="8">
        <v>2817.0</v>
      </c>
      <c r="C18" t="n" s="8">
        <v>1350.0</v>
      </c>
      <c r="D18" t="n" s="8">
        <v>0.0</v>
      </c>
      <c r="E18" t="n" s="8">
        <v>1350.0</v>
      </c>
      <c r="F18" t="n" s="8">
        <v>72.0</v>
      </c>
      <c r="G18" s="13">
        <f>F18/E18</f>
      </c>
      <c r="H18" t="n" s="8">
        <v>669.0</v>
      </c>
      <c r="I18" s="13">
        <f>H18/E18</f>
      </c>
      <c r="J18" t="n" s="8">
        <v>609.0</v>
      </c>
      <c r="K18" s="13">
        <f>J18/E18</f>
      </c>
      <c r="L18" s="13">
        <f>C18/B18</f>
      </c>
    </row>
    <row r="19">
      <c r="A19" t="s" s="4">
        <v>31</v>
      </c>
      <c r="B19" t="n" s="4">
        <v>814.0</v>
      </c>
      <c r="C19" t="n" s="4">
        <v>393.0</v>
      </c>
      <c r="D19" t="n" s="4">
        <v>0.0</v>
      </c>
      <c r="E19" t="n" s="4">
        <v>393.0</v>
      </c>
      <c r="F19" t="n" s="4">
        <v>21.0</v>
      </c>
      <c r="G19" s="12">
        <f>F19/E19</f>
      </c>
      <c r="H19" t="n" s="4">
        <v>156.0</v>
      </c>
      <c r="I19" s="12">
        <f>H19/E19</f>
      </c>
      <c r="J19" t="n" s="4">
        <v>216.0</v>
      </c>
      <c r="K19" s="12">
        <f>J19/E19</f>
      </c>
      <c r="L19" s="12">
        <f>C19/B19</f>
      </c>
    </row>
    <row r="20">
      <c r="A20" t="s" s="9">
        <v>16</v>
      </c>
      <c r="B20" s="7">
        <f>SUM(B5:B19)</f>
      </c>
      <c r="C20" s="7">
        <f>SUM(C5:C19)</f>
      </c>
      <c r="D20" s="7">
        <f>SUM(D5:D19)</f>
      </c>
      <c r="E20" s="7">
        <f>SUM(E5:E19)</f>
      </c>
      <c r="F20" s="7">
        <f>SUM(F5:F19)</f>
      </c>
      <c r="G20" s="14">
        <f>F20/E20</f>
      </c>
      <c r="H20" s="7">
        <f>SUM(H5:H19)</f>
      </c>
      <c r="I20" s="14">
        <f>H20/E20</f>
      </c>
      <c r="J20" s="7">
        <f>SUM(J5:J19)</f>
      </c>
      <c r="K20" s="14">
        <f>J20/E20</f>
      </c>
      <c r="L20" s="14">
        <f>C20/B20</f>
      </c>
    </row>
    <row r="21"/>
    <row r="22">
      <c r="A22" t="s" s="7">
        <v>32</v>
      </c>
    </row>
    <row r="23">
      <c r="A23" t="s" s="4">
        <v>33</v>
      </c>
      <c r="B23" t="n" s="4">
        <v>2308.0</v>
      </c>
      <c r="C23" t="n" s="4">
        <v>1119.0</v>
      </c>
      <c r="D23" t="n" s="4">
        <v>0.0</v>
      </c>
      <c r="E23" t="n" s="4">
        <v>1119.0</v>
      </c>
      <c r="F23" t="n" s="4">
        <v>82.0</v>
      </c>
      <c r="G23" s="12">
        <f>F23/E23</f>
      </c>
      <c r="H23" t="n" s="4">
        <v>489.0</v>
      </c>
      <c r="I23" s="12">
        <f>H23/E23</f>
      </c>
      <c r="J23" t="n" s="4">
        <v>548.0</v>
      </c>
      <c r="K23" s="12">
        <f>J23/E23</f>
      </c>
      <c r="L23" s="12">
        <f>C23/B23</f>
      </c>
    </row>
    <row r="24">
      <c r="A24" t="s" s="8">
        <v>34</v>
      </c>
      <c r="B24" t="n" s="8">
        <v>179.0</v>
      </c>
      <c r="C24" t="n" s="8">
        <v>101.0</v>
      </c>
      <c r="D24" t="n" s="8">
        <v>1.0</v>
      </c>
      <c r="E24" t="n" s="8">
        <v>100.0</v>
      </c>
      <c r="F24" t="n" s="8">
        <v>6.0</v>
      </c>
      <c r="G24" s="13">
        <f>F24/E24</f>
      </c>
      <c r="H24" t="n" s="8">
        <v>33.0</v>
      </c>
      <c r="I24" s="13">
        <f>H24/E24</f>
      </c>
      <c r="J24" t="n" s="8">
        <v>61.0</v>
      </c>
      <c r="K24" s="13">
        <f>J24/E24</f>
      </c>
      <c r="L24" s="13">
        <f>C24/B24</f>
      </c>
    </row>
    <row r="25">
      <c r="A25" t="s" s="4">
        <v>35</v>
      </c>
      <c r="B25" t="n" s="4">
        <v>125.0</v>
      </c>
      <c r="C25" t="n" s="4">
        <v>77.0</v>
      </c>
      <c r="D25" t="n" s="4">
        <v>0.0</v>
      </c>
      <c r="E25" t="n" s="4">
        <v>77.0</v>
      </c>
      <c r="F25" t="n" s="4">
        <v>0.0</v>
      </c>
      <c r="G25" s="12">
        <f>F25/E25</f>
      </c>
      <c r="H25" t="n" s="4">
        <v>42.0</v>
      </c>
      <c r="I25" s="12">
        <f>H25/E25</f>
      </c>
      <c r="J25" t="n" s="4">
        <v>35.0</v>
      </c>
      <c r="K25" s="12">
        <f>J25/E25</f>
      </c>
      <c r="L25" s="12">
        <f>C25/B25</f>
      </c>
    </row>
    <row r="26">
      <c r="A26" t="s" s="8">
        <v>36</v>
      </c>
      <c r="B26" t="n" s="8">
        <v>177.0</v>
      </c>
      <c r="C26" t="n" s="8">
        <v>98.0</v>
      </c>
      <c r="D26" t="n" s="8">
        <v>0.0</v>
      </c>
      <c r="E26" t="n" s="8">
        <v>98.0</v>
      </c>
      <c r="F26" t="n" s="8">
        <v>0.0</v>
      </c>
      <c r="G26" s="13">
        <f>F26/E26</f>
      </c>
      <c r="H26" t="n" s="8">
        <v>29.0</v>
      </c>
      <c r="I26" s="13">
        <f>H26/E26</f>
      </c>
      <c r="J26" t="n" s="8">
        <v>69.0</v>
      </c>
      <c r="K26" s="13">
        <f>J26/E26</f>
      </c>
      <c r="L26" s="13">
        <f>C26/B26</f>
      </c>
    </row>
    <row r="27">
      <c r="A27" t="s" s="4">
        <v>37</v>
      </c>
      <c r="B27" t="n" s="4">
        <v>339.0</v>
      </c>
      <c r="C27" t="n" s="4">
        <v>209.0</v>
      </c>
      <c r="D27" t="n" s="4">
        <v>0.0</v>
      </c>
      <c r="E27" t="n" s="4">
        <v>209.0</v>
      </c>
      <c r="F27" t="n" s="4">
        <v>6.0</v>
      </c>
      <c r="G27" s="12">
        <f>F27/E27</f>
      </c>
      <c r="H27" t="n" s="4">
        <v>91.0</v>
      </c>
      <c r="I27" s="12">
        <f>H27/E27</f>
      </c>
      <c r="J27" t="n" s="4">
        <v>112.0</v>
      </c>
      <c r="K27" s="12">
        <f>J27/E27</f>
      </c>
      <c r="L27" s="12">
        <f>C27/B27</f>
      </c>
    </row>
    <row r="28">
      <c r="A28" t="s" s="8">
        <v>38</v>
      </c>
      <c r="B28" t="n" s="8">
        <v>328.0</v>
      </c>
      <c r="C28" t="n" s="8">
        <v>193.0</v>
      </c>
      <c r="D28" t="n" s="8">
        <v>0.0</v>
      </c>
      <c r="E28" t="n" s="8">
        <v>193.0</v>
      </c>
      <c r="F28" t="n" s="8">
        <v>3.0</v>
      </c>
      <c r="G28" s="13">
        <f>F28/E28</f>
      </c>
      <c r="H28" t="n" s="8">
        <v>86.0</v>
      </c>
      <c r="I28" s="13">
        <f>H28/E28</f>
      </c>
      <c r="J28" t="n" s="8">
        <v>104.0</v>
      </c>
      <c r="K28" s="13">
        <f>J28/E28</f>
      </c>
      <c r="L28" s="13">
        <f>C28/B28</f>
      </c>
    </row>
    <row r="29">
      <c r="A29" t="s" s="4">
        <v>39</v>
      </c>
      <c r="B29" t="n" s="4">
        <v>1584.0</v>
      </c>
      <c r="C29" t="n" s="4">
        <v>837.0</v>
      </c>
      <c r="D29" t="n" s="4">
        <v>0.0</v>
      </c>
      <c r="E29" t="n" s="4">
        <v>837.0</v>
      </c>
      <c r="F29" t="n" s="4">
        <v>57.0</v>
      </c>
      <c r="G29" s="12">
        <f>F29/E29</f>
      </c>
      <c r="H29" t="n" s="4">
        <v>317.0</v>
      </c>
      <c r="I29" s="12">
        <f>H29/E29</f>
      </c>
      <c r="J29" t="n" s="4">
        <v>463.0</v>
      </c>
      <c r="K29" s="12">
        <f>J29/E29</f>
      </c>
      <c r="L29" s="12">
        <f>C29/B29</f>
      </c>
    </row>
    <row r="30">
      <c r="A30" t="s" s="8">
        <v>40</v>
      </c>
      <c r="B30" t="n" s="8">
        <v>1263.0</v>
      </c>
      <c r="C30" t="n" s="8">
        <v>640.0</v>
      </c>
      <c r="D30" t="n" s="8">
        <v>0.0</v>
      </c>
      <c r="E30" t="n" s="8">
        <v>640.0</v>
      </c>
      <c r="F30" t="n" s="8">
        <v>24.0</v>
      </c>
      <c r="G30" s="13">
        <f>F30/E30</f>
      </c>
      <c r="H30" t="n" s="8">
        <v>256.0</v>
      </c>
      <c r="I30" s="13">
        <f>H30/E30</f>
      </c>
      <c r="J30" t="n" s="8">
        <v>360.0</v>
      </c>
      <c r="K30" s="13">
        <f>J30/E30</f>
      </c>
      <c r="L30" s="13">
        <f>C30/B30</f>
      </c>
    </row>
    <row r="31">
      <c r="A31" t="s" s="4">
        <v>41</v>
      </c>
      <c r="B31" t="n" s="4">
        <v>215.0</v>
      </c>
      <c r="C31" t="n" s="4">
        <v>125.0</v>
      </c>
      <c r="D31" t="n" s="4">
        <v>0.0</v>
      </c>
      <c r="E31" t="n" s="4">
        <v>125.0</v>
      </c>
      <c r="F31" t="n" s="4">
        <v>5.0</v>
      </c>
      <c r="G31" s="12">
        <f>F31/E31</f>
      </c>
      <c r="H31" t="n" s="4">
        <v>53.0</v>
      </c>
      <c r="I31" s="12">
        <f>H31/E31</f>
      </c>
      <c r="J31" t="n" s="4">
        <v>67.0</v>
      </c>
      <c r="K31" s="12">
        <f>J31/E31</f>
      </c>
      <c r="L31" s="12">
        <f>C31/B31</f>
      </c>
    </row>
    <row r="32">
      <c r="A32" t="s" s="8">
        <v>42</v>
      </c>
      <c r="B32" t="n" s="8">
        <v>163.0</v>
      </c>
      <c r="C32" t="n" s="8">
        <v>104.0</v>
      </c>
      <c r="D32" t="n" s="8">
        <v>0.0</v>
      </c>
      <c r="E32" t="n" s="8">
        <v>104.0</v>
      </c>
      <c r="F32" t="n" s="8">
        <v>2.0</v>
      </c>
      <c r="G32" s="13">
        <f>F32/E32</f>
      </c>
      <c r="H32" t="n" s="8">
        <v>38.0</v>
      </c>
      <c r="I32" s="13">
        <f>H32/E32</f>
      </c>
      <c r="J32" t="n" s="8">
        <v>64.0</v>
      </c>
      <c r="K32" s="13">
        <f>J32/E32</f>
      </c>
      <c r="L32" s="13">
        <f>C32/B32</f>
      </c>
    </row>
    <row r="33">
      <c r="A33" t="s" s="4">
        <v>43</v>
      </c>
      <c r="B33" t="n" s="4">
        <v>568.0</v>
      </c>
      <c r="C33" t="n" s="4">
        <v>263.0</v>
      </c>
      <c r="D33" t="n" s="4">
        <v>1.0</v>
      </c>
      <c r="E33" t="n" s="4">
        <v>262.0</v>
      </c>
      <c r="F33" t="n" s="4">
        <v>10.0</v>
      </c>
      <c r="G33" s="12">
        <f>F33/E33</f>
      </c>
      <c r="H33" t="n" s="4">
        <v>104.0</v>
      </c>
      <c r="I33" s="12">
        <f>H33/E33</f>
      </c>
      <c r="J33" t="n" s="4">
        <v>148.0</v>
      </c>
      <c r="K33" s="12">
        <f>J33/E33</f>
      </c>
      <c r="L33" s="12">
        <f>C33/B33</f>
      </c>
    </row>
    <row r="34">
      <c r="A34" t="s" s="8">
        <v>44</v>
      </c>
      <c r="B34" t="n" s="8">
        <v>627.0</v>
      </c>
      <c r="C34" t="n" s="8">
        <v>310.0</v>
      </c>
      <c r="D34" t="n" s="8">
        <v>0.0</v>
      </c>
      <c r="E34" t="n" s="8">
        <v>310.0</v>
      </c>
      <c r="F34" t="n" s="8">
        <v>15.0</v>
      </c>
      <c r="G34" s="13">
        <f>F34/E34</f>
      </c>
      <c r="H34" t="n" s="8">
        <v>107.0</v>
      </c>
      <c r="I34" s="13">
        <f>H34/E34</f>
      </c>
      <c r="J34" t="n" s="8">
        <v>188.0</v>
      </c>
      <c r="K34" s="13">
        <f>J34/E34</f>
      </c>
      <c r="L34" s="13">
        <f>C34/B34</f>
      </c>
    </row>
    <row r="35">
      <c r="A35" t="s" s="4">
        <v>45</v>
      </c>
      <c r="B35" t="n" s="4">
        <v>266.0</v>
      </c>
      <c r="C35" t="n" s="4">
        <v>115.0</v>
      </c>
      <c r="D35" t="n" s="4">
        <v>0.0</v>
      </c>
      <c r="E35" t="n" s="4">
        <v>115.0</v>
      </c>
      <c r="F35" t="n" s="4">
        <v>2.0</v>
      </c>
      <c r="G35" s="12">
        <f>F35/E35</f>
      </c>
      <c r="H35" t="n" s="4">
        <v>51.0</v>
      </c>
      <c r="I35" s="12">
        <f>H35/E35</f>
      </c>
      <c r="J35" t="n" s="4">
        <v>62.0</v>
      </c>
      <c r="K35" s="12">
        <f>J35/E35</f>
      </c>
      <c r="L35" s="12">
        <f>C35/B35</f>
      </c>
    </row>
    <row r="36">
      <c r="A36" t="s" s="8">
        <v>46</v>
      </c>
      <c r="B36" t="n" s="8">
        <v>251.0</v>
      </c>
      <c r="C36" t="n" s="8">
        <v>144.0</v>
      </c>
      <c r="D36" t="n" s="8">
        <v>0.0</v>
      </c>
      <c r="E36" t="n" s="8">
        <v>144.0</v>
      </c>
      <c r="F36" t="n" s="8">
        <v>3.0</v>
      </c>
      <c r="G36" s="13">
        <f>F36/E36</f>
      </c>
      <c r="H36" t="n" s="8">
        <v>57.0</v>
      </c>
      <c r="I36" s="13">
        <f>H36/E36</f>
      </c>
      <c r="J36" t="n" s="8">
        <v>84.0</v>
      </c>
      <c r="K36" s="13">
        <f>J36/E36</f>
      </c>
      <c r="L36" s="13">
        <f>C36/B36</f>
      </c>
    </row>
    <row r="37">
      <c r="A37" t="s" s="4">
        <v>47</v>
      </c>
      <c r="B37" t="n" s="4">
        <v>117.0</v>
      </c>
      <c r="C37" t="n" s="4">
        <v>64.0</v>
      </c>
      <c r="D37" t="n" s="4">
        <v>0.0</v>
      </c>
      <c r="E37" t="n" s="4">
        <v>64.0</v>
      </c>
      <c r="F37" t="n" s="4">
        <v>2.0</v>
      </c>
      <c r="G37" s="12">
        <f>F37/E37</f>
      </c>
      <c r="H37" t="n" s="4">
        <v>35.0</v>
      </c>
      <c r="I37" s="12">
        <f>H37/E37</f>
      </c>
      <c r="J37" t="n" s="4">
        <v>27.0</v>
      </c>
      <c r="K37" s="12">
        <f>J37/E37</f>
      </c>
      <c r="L37" s="12">
        <f>C37/B37</f>
      </c>
    </row>
    <row r="38">
      <c r="A38" t="s" s="8">
        <v>48</v>
      </c>
      <c r="B38" t="n" s="8">
        <v>2231.0</v>
      </c>
      <c r="C38" t="n" s="8">
        <v>1122.0</v>
      </c>
      <c r="D38" t="n" s="8">
        <v>2.0</v>
      </c>
      <c r="E38" t="n" s="8">
        <v>1120.0</v>
      </c>
      <c r="F38" t="n" s="8">
        <v>54.0</v>
      </c>
      <c r="G38" s="13">
        <f>F38/E38</f>
      </c>
      <c r="H38" t="n" s="8">
        <v>596.0</v>
      </c>
      <c r="I38" s="13">
        <f>H38/E38</f>
      </c>
      <c r="J38" t="n" s="8">
        <v>470.0</v>
      </c>
      <c r="K38" s="13">
        <f>J38/E38</f>
      </c>
      <c r="L38" s="13">
        <f>C38/B38</f>
      </c>
    </row>
    <row r="39">
      <c r="A39" t="s" s="4">
        <v>49</v>
      </c>
      <c r="B39" t="n" s="4">
        <v>235.0</v>
      </c>
      <c r="C39" t="n" s="4">
        <v>134.0</v>
      </c>
      <c r="D39" t="n" s="4">
        <v>0.0</v>
      </c>
      <c r="E39" t="n" s="4">
        <v>134.0</v>
      </c>
      <c r="F39" t="n" s="4">
        <v>2.0</v>
      </c>
      <c r="G39" s="12">
        <f>F39/E39</f>
      </c>
      <c r="H39" t="n" s="4">
        <v>56.0</v>
      </c>
      <c r="I39" s="12">
        <f>H39/E39</f>
      </c>
      <c r="J39" t="n" s="4">
        <v>76.0</v>
      </c>
      <c r="K39" s="12">
        <f>J39/E39</f>
      </c>
      <c r="L39" s="12">
        <f>C39/B39</f>
      </c>
    </row>
    <row r="40">
      <c r="A40" t="s" s="8">
        <v>50</v>
      </c>
      <c r="B40" t="n" s="8">
        <v>4208.0</v>
      </c>
      <c r="C40" t="n" s="8">
        <v>1156.0</v>
      </c>
      <c r="D40" t="n" s="8">
        <v>1.0</v>
      </c>
      <c r="E40" t="n" s="8">
        <v>1155.0</v>
      </c>
      <c r="F40" t="n" s="8">
        <v>81.0</v>
      </c>
      <c r="G40" s="13">
        <f>F40/E40</f>
      </c>
      <c r="H40" t="n" s="8">
        <v>587.0</v>
      </c>
      <c r="I40" s="13">
        <f>H40/E40</f>
      </c>
      <c r="J40" t="n" s="8">
        <v>487.0</v>
      </c>
      <c r="K40" s="13">
        <f>J40/E40</f>
      </c>
      <c r="L40" s="13">
        <f>C40/B40</f>
      </c>
    </row>
    <row r="41">
      <c r="A41" t="s" s="4">
        <v>51</v>
      </c>
      <c r="B41" t="n" s="4">
        <v>4835.0</v>
      </c>
      <c r="C41" t="n" s="4">
        <v>2333.0</v>
      </c>
      <c r="D41" t="n" s="4">
        <v>5.0</v>
      </c>
      <c r="E41" t="n" s="4">
        <v>2328.0</v>
      </c>
      <c r="F41" t="n" s="4">
        <v>160.0</v>
      </c>
      <c r="G41" s="12">
        <f>F41/E41</f>
      </c>
      <c r="H41" t="n" s="4">
        <v>950.0</v>
      </c>
      <c r="I41" s="12">
        <f>H41/E41</f>
      </c>
      <c r="J41" t="n" s="4">
        <v>1218.0</v>
      </c>
      <c r="K41" s="12">
        <f>J41/E41</f>
      </c>
      <c r="L41" s="12">
        <f>C41/B41</f>
      </c>
    </row>
    <row r="42">
      <c r="A42" t="s" s="8">
        <v>52</v>
      </c>
      <c r="B42" t="n" s="8">
        <v>172.0</v>
      </c>
      <c r="C42" t="n" s="8">
        <v>86.0</v>
      </c>
      <c r="D42" t="n" s="8">
        <v>0.0</v>
      </c>
      <c r="E42" t="n" s="8">
        <v>86.0</v>
      </c>
      <c r="F42" t="n" s="8">
        <v>4.0</v>
      </c>
      <c r="G42" s="13">
        <f>F42/E42</f>
      </c>
      <c r="H42" t="n" s="8">
        <v>26.0</v>
      </c>
      <c r="I42" s="13">
        <f>H42/E42</f>
      </c>
      <c r="J42" t="n" s="8">
        <v>56.0</v>
      </c>
      <c r="K42" s="13">
        <f>J42/E42</f>
      </c>
      <c r="L42" s="13">
        <f>C42/B42</f>
      </c>
    </row>
    <row r="43">
      <c r="A43" t="s" s="4">
        <v>53</v>
      </c>
      <c r="B43" t="n" s="4">
        <v>321.0</v>
      </c>
      <c r="C43" t="n" s="4">
        <v>192.0</v>
      </c>
      <c r="D43" t="n" s="4">
        <v>0.0</v>
      </c>
      <c r="E43" t="n" s="4">
        <v>192.0</v>
      </c>
      <c r="F43" t="n" s="4">
        <v>8.0</v>
      </c>
      <c r="G43" s="12">
        <f>F43/E43</f>
      </c>
      <c r="H43" t="n" s="4">
        <v>75.0</v>
      </c>
      <c r="I43" s="12">
        <f>H43/E43</f>
      </c>
      <c r="J43" t="n" s="4">
        <v>109.0</v>
      </c>
      <c r="K43" s="12">
        <f>J43/E43</f>
      </c>
      <c r="L43" s="12">
        <f>C43/B43</f>
      </c>
    </row>
    <row r="44">
      <c r="A44" t="s" s="8">
        <v>54</v>
      </c>
      <c r="B44" t="n" s="8">
        <v>58.0</v>
      </c>
      <c r="C44" t="n" s="8">
        <v>32.0</v>
      </c>
      <c r="D44" t="n" s="8">
        <v>0.0</v>
      </c>
      <c r="E44" t="n" s="8">
        <v>32.0</v>
      </c>
      <c r="F44" t="n" s="8">
        <v>1.0</v>
      </c>
      <c r="G44" s="13">
        <f>F44/E44</f>
      </c>
      <c r="H44" t="n" s="8">
        <v>16.0</v>
      </c>
      <c r="I44" s="13">
        <f>H44/E44</f>
      </c>
      <c r="J44" t="n" s="8">
        <v>15.0</v>
      </c>
      <c r="K44" s="13">
        <f>J44/E44</f>
      </c>
      <c r="L44" s="13">
        <f>C44/B44</f>
      </c>
    </row>
    <row r="45">
      <c r="A45" t="s" s="4">
        <v>55</v>
      </c>
      <c r="B45" t="n" s="4">
        <v>89.0</v>
      </c>
      <c r="C45" t="n" s="4">
        <v>37.0</v>
      </c>
      <c r="D45" t="n" s="4">
        <v>0.0</v>
      </c>
      <c r="E45" t="n" s="4">
        <v>37.0</v>
      </c>
      <c r="F45" t="n" s="4">
        <v>0.0</v>
      </c>
      <c r="G45" s="12">
        <f>F45/E45</f>
      </c>
      <c r="H45" t="n" s="4">
        <v>20.0</v>
      </c>
      <c r="I45" s="12">
        <f>H45/E45</f>
      </c>
      <c r="J45" t="n" s="4">
        <v>17.0</v>
      </c>
      <c r="K45" s="12">
        <f>J45/E45</f>
      </c>
      <c r="L45" s="12">
        <f>C45/B45</f>
      </c>
    </row>
    <row r="46">
      <c r="A46" t="s" s="8">
        <v>56</v>
      </c>
      <c r="B46" t="n" s="8">
        <v>202.0</v>
      </c>
      <c r="C46" t="n" s="8">
        <v>113.0</v>
      </c>
      <c r="D46" t="n" s="8">
        <v>0.0</v>
      </c>
      <c r="E46" t="n" s="8">
        <v>113.0</v>
      </c>
      <c r="F46" t="n" s="8">
        <v>4.0</v>
      </c>
      <c r="G46" s="13">
        <f>F46/E46</f>
      </c>
      <c r="H46" t="n" s="8">
        <v>42.0</v>
      </c>
      <c r="I46" s="13">
        <f>H46/E46</f>
      </c>
      <c r="J46" t="n" s="8">
        <v>67.0</v>
      </c>
      <c r="K46" s="13">
        <f>J46/E46</f>
      </c>
      <c r="L46" s="13">
        <f>C46/B46</f>
      </c>
    </row>
    <row r="47">
      <c r="A47" t="s" s="4">
        <v>57</v>
      </c>
      <c r="B47" t="n" s="4">
        <v>79.0</v>
      </c>
      <c r="C47" t="n" s="4">
        <v>47.0</v>
      </c>
      <c r="D47" t="n" s="4">
        <v>1.0</v>
      </c>
      <c r="E47" t="n" s="4">
        <v>46.0</v>
      </c>
      <c r="F47" t="n" s="4">
        <v>1.0</v>
      </c>
      <c r="G47" s="12">
        <f>F47/E47</f>
      </c>
      <c r="H47" t="n" s="4">
        <v>8.0</v>
      </c>
      <c r="I47" s="12">
        <f>H47/E47</f>
      </c>
      <c r="J47" t="n" s="4">
        <v>37.0</v>
      </c>
      <c r="K47" s="12">
        <f>J47/E47</f>
      </c>
      <c r="L47" s="12">
        <f>C47/B47</f>
      </c>
    </row>
    <row r="48">
      <c r="A48" t="s" s="8">
        <v>58</v>
      </c>
      <c r="B48" t="n" s="8">
        <v>2046.0</v>
      </c>
      <c r="C48" t="n" s="8">
        <v>1140.0</v>
      </c>
      <c r="D48" t="n" s="8">
        <v>0.0</v>
      </c>
      <c r="E48" t="n" s="8">
        <v>1140.0</v>
      </c>
      <c r="F48" t="n" s="8">
        <v>88.0</v>
      </c>
      <c r="G48" s="13">
        <f>F48/E48</f>
      </c>
      <c r="H48" t="n" s="8">
        <v>429.0</v>
      </c>
      <c r="I48" s="13">
        <f>H48/E48</f>
      </c>
      <c r="J48" t="n" s="8">
        <v>623.0</v>
      </c>
      <c r="K48" s="13">
        <f>J48/E48</f>
      </c>
      <c r="L48" s="13">
        <f>C48/B48</f>
      </c>
    </row>
    <row r="49">
      <c r="A49" t="s" s="4">
        <v>59</v>
      </c>
      <c r="B49" t="n" s="4">
        <v>101.0</v>
      </c>
      <c r="C49" t="n" s="4">
        <v>66.0</v>
      </c>
      <c r="D49" t="n" s="4">
        <v>0.0</v>
      </c>
      <c r="E49" t="n" s="4">
        <v>66.0</v>
      </c>
      <c r="F49" t="n" s="4">
        <v>2.0</v>
      </c>
      <c r="G49" s="12">
        <f>F49/E49</f>
      </c>
      <c r="H49" t="n" s="4">
        <v>17.0</v>
      </c>
      <c r="I49" s="12">
        <f>H49/E49</f>
      </c>
      <c r="J49" t="n" s="4">
        <v>47.0</v>
      </c>
      <c r="K49" s="12">
        <f>J49/E49</f>
      </c>
      <c r="L49" s="12">
        <f>C49/B49</f>
      </c>
    </row>
    <row r="50">
      <c r="A50" t="s" s="8">
        <v>60</v>
      </c>
      <c r="B50" t="n" s="8">
        <v>305.0</v>
      </c>
      <c r="C50" t="n" s="8">
        <v>161.0</v>
      </c>
      <c r="D50" t="n" s="8">
        <v>0.0</v>
      </c>
      <c r="E50" t="n" s="8">
        <v>161.0</v>
      </c>
      <c r="F50" t="n" s="8">
        <v>4.0</v>
      </c>
      <c r="G50" s="13">
        <f>F50/E50</f>
      </c>
      <c r="H50" t="n" s="8">
        <v>75.0</v>
      </c>
      <c r="I50" s="13">
        <f>H50/E50</f>
      </c>
      <c r="J50" t="n" s="8">
        <v>82.0</v>
      </c>
      <c r="K50" s="13">
        <f>J50/E50</f>
      </c>
      <c r="L50" s="13">
        <f>C50/B50</f>
      </c>
    </row>
    <row r="51">
      <c r="A51" t="s" s="4">
        <v>61</v>
      </c>
      <c r="B51" t="n" s="4">
        <v>404.0</v>
      </c>
      <c r="C51" t="n" s="4">
        <v>230.0</v>
      </c>
      <c r="D51" t="n" s="4">
        <v>0.0</v>
      </c>
      <c r="E51" t="n" s="4">
        <v>230.0</v>
      </c>
      <c r="F51" t="n" s="4">
        <v>8.0</v>
      </c>
      <c r="G51" s="12">
        <f>F51/E51</f>
      </c>
      <c r="H51" t="n" s="4">
        <v>109.0</v>
      </c>
      <c r="I51" s="12">
        <f>H51/E51</f>
      </c>
      <c r="J51" t="n" s="4">
        <v>113.0</v>
      </c>
      <c r="K51" s="12">
        <f>J51/E51</f>
      </c>
      <c r="L51" s="12">
        <f>C51/B51</f>
      </c>
    </row>
    <row r="52">
      <c r="A52" t="s" s="8">
        <v>62</v>
      </c>
      <c r="B52" t="n" s="8">
        <v>429.0</v>
      </c>
      <c r="C52" t="n" s="8">
        <v>265.0</v>
      </c>
      <c r="D52" t="n" s="8">
        <v>0.0</v>
      </c>
      <c r="E52" t="n" s="8">
        <v>265.0</v>
      </c>
      <c r="F52" t="n" s="8">
        <v>7.0</v>
      </c>
      <c r="G52" s="13">
        <f>F52/E52</f>
      </c>
      <c r="H52" t="n" s="8">
        <v>100.0</v>
      </c>
      <c r="I52" s="13">
        <f>H52/E52</f>
      </c>
      <c r="J52" t="n" s="8">
        <v>158.0</v>
      </c>
      <c r="K52" s="13">
        <f>J52/E52</f>
      </c>
      <c r="L52" s="13">
        <f>C52/B52</f>
      </c>
    </row>
    <row r="53">
      <c r="A53" t="s" s="4">
        <v>63</v>
      </c>
      <c r="B53" t="n" s="4">
        <v>2415.0</v>
      </c>
      <c r="C53" t="n" s="4">
        <v>1320.0</v>
      </c>
      <c r="D53" t="n" s="4">
        <v>0.0</v>
      </c>
      <c r="E53" t="n" s="4">
        <v>1320.0</v>
      </c>
      <c r="F53" t="n" s="4">
        <v>93.0</v>
      </c>
      <c r="G53" s="12">
        <f>F53/E53</f>
      </c>
      <c r="H53" t="n" s="4">
        <v>443.0</v>
      </c>
      <c r="I53" s="12">
        <f>H53/E53</f>
      </c>
      <c r="J53" t="n" s="4">
        <v>784.0</v>
      </c>
      <c r="K53" s="12">
        <f>J53/E53</f>
      </c>
      <c r="L53" s="12">
        <f>C53/B53</f>
      </c>
    </row>
    <row r="54">
      <c r="A54" t="s" s="9">
        <v>32</v>
      </c>
      <c r="B54" s="7">
        <f>SUM(B23:B53)</f>
      </c>
      <c r="C54" s="7">
        <f>SUM(C23:C53)</f>
      </c>
      <c r="D54" s="7">
        <f>SUM(D23:D53)</f>
      </c>
      <c r="E54" s="7">
        <f>SUM(E23:E53)</f>
      </c>
      <c r="F54" s="7">
        <f>SUM(F23:F53)</f>
      </c>
      <c r="G54" s="14">
        <f>F54/E54</f>
      </c>
      <c r="H54" s="7">
        <f>SUM(H23:H53)</f>
      </c>
      <c r="I54" s="14">
        <f>H54/E54</f>
      </c>
      <c r="J54" s="7">
        <f>SUM(J23:J53)</f>
      </c>
      <c r="K54" s="14">
        <f>J54/E54</f>
      </c>
      <c r="L54" s="14">
        <f>C54/B54</f>
      </c>
    </row>
    <row r="55"/>
    <row r="56">
      <c r="A56" t="s" s="7">
        <v>64</v>
      </c>
    </row>
    <row r="57">
      <c r="A57" t="s" s="4">
        <v>65</v>
      </c>
      <c r="B57" t="n" s="4">
        <v>1156.0</v>
      </c>
      <c r="C57" t="n" s="4">
        <v>636.0</v>
      </c>
      <c r="D57" t="n" s="4">
        <v>0.0</v>
      </c>
      <c r="E57" t="n" s="4">
        <v>636.0</v>
      </c>
      <c r="F57" t="n" s="4">
        <v>20.0</v>
      </c>
      <c r="G57" s="12">
        <f>F57/E57</f>
      </c>
      <c r="H57" t="n" s="4">
        <v>232.0</v>
      </c>
      <c r="I57" s="12">
        <f>H57/E57</f>
      </c>
      <c r="J57" t="n" s="4">
        <v>384.0</v>
      </c>
      <c r="K57" s="12">
        <f>J57/E57</f>
      </c>
      <c r="L57" s="12">
        <f>C57/B57</f>
      </c>
    </row>
    <row r="58">
      <c r="A58" t="s" s="8">
        <v>66</v>
      </c>
      <c r="B58" t="n" s="8">
        <v>892.0</v>
      </c>
      <c r="C58" t="n" s="8">
        <v>510.0</v>
      </c>
      <c r="D58" t="n" s="8">
        <v>2.0</v>
      </c>
      <c r="E58" t="n" s="8">
        <v>508.0</v>
      </c>
      <c r="F58" t="n" s="8">
        <v>35.0</v>
      </c>
      <c r="G58" s="13">
        <f>F58/E58</f>
      </c>
      <c r="H58" t="n" s="8">
        <v>211.0</v>
      </c>
      <c r="I58" s="13">
        <f>H58/E58</f>
      </c>
      <c r="J58" t="n" s="8">
        <v>262.0</v>
      </c>
      <c r="K58" s="13">
        <f>J58/E58</f>
      </c>
      <c r="L58" s="13">
        <f>C58/B58</f>
      </c>
    </row>
    <row r="59">
      <c r="A59" t="s" s="4">
        <v>67</v>
      </c>
      <c r="B59" t="n" s="4">
        <v>403.0</v>
      </c>
      <c r="C59" t="n" s="4">
        <v>218.0</v>
      </c>
      <c r="D59" t="n" s="4">
        <v>0.0</v>
      </c>
      <c r="E59" t="n" s="4">
        <v>218.0</v>
      </c>
      <c r="F59" t="n" s="4">
        <v>10.0</v>
      </c>
      <c r="G59" s="12">
        <f>F59/E59</f>
      </c>
      <c r="H59" t="n" s="4">
        <v>84.0</v>
      </c>
      <c r="I59" s="12">
        <f>H59/E59</f>
      </c>
      <c r="J59" t="n" s="4">
        <v>124.0</v>
      </c>
      <c r="K59" s="12">
        <f>J59/E59</f>
      </c>
      <c r="L59" s="12">
        <f>C59/B59</f>
      </c>
    </row>
    <row r="60">
      <c r="A60" t="s" s="8">
        <v>68</v>
      </c>
      <c r="B60" t="n" s="8">
        <v>867.0</v>
      </c>
      <c r="C60" t="n" s="8">
        <v>458.0</v>
      </c>
      <c r="D60" t="n" s="8">
        <v>0.0</v>
      </c>
      <c r="E60" t="n" s="8">
        <v>458.0</v>
      </c>
      <c r="F60" t="n" s="8">
        <v>13.0</v>
      </c>
      <c r="G60" s="13">
        <f>F60/E60</f>
      </c>
      <c r="H60" t="n" s="8">
        <v>195.0</v>
      </c>
      <c r="I60" s="13">
        <f>H60/E60</f>
      </c>
      <c r="J60" t="n" s="8">
        <v>250.0</v>
      </c>
      <c r="K60" s="13">
        <f>J60/E60</f>
      </c>
      <c r="L60" s="13">
        <f>C60/B60</f>
      </c>
    </row>
    <row r="61">
      <c r="A61" t="s" s="4">
        <v>69</v>
      </c>
      <c r="B61" t="n" s="4">
        <v>261.0</v>
      </c>
      <c r="C61" t="n" s="4">
        <v>147.0</v>
      </c>
      <c r="D61" t="n" s="4">
        <v>0.0</v>
      </c>
      <c r="E61" t="n" s="4">
        <v>147.0</v>
      </c>
      <c r="F61" t="n" s="4">
        <v>2.0</v>
      </c>
      <c r="G61" s="12">
        <f>F61/E61</f>
      </c>
      <c r="H61" t="n" s="4">
        <v>69.0</v>
      </c>
      <c r="I61" s="12">
        <f>H61/E61</f>
      </c>
      <c r="J61" t="n" s="4">
        <v>76.0</v>
      </c>
      <c r="K61" s="12">
        <f>J61/E61</f>
      </c>
      <c r="L61" s="12">
        <f>C61/B61</f>
      </c>
    </row>
    <row r="62">
      <c r="A62" t="s" s="8">
        <v>70</v>
      </c>
      <c r="B62" t="n" s="8">
        <v>380.0</v>
      </c>
      <c r="C62" t="n" s="8">
        <v>207.0</v>
      </c>
      <c r="D62" t="n" s="8">
        <v>0.0</v>
      </c>
      <c r="E62" t="n" s="8">
        <v>207.0</v>
      </c>
      <c r="F62" t="n" s="8">
        <v>7.0</v>
      </c>
      <c r="G62" s="13">
        <f>F62/E62</f>
      </c>
      <c r="H62" t="n" s="8">
        <v>70.0</v>
      </c>
      <c r="I62" s="13">
        <f>H62/E62</f>
      </c>
      <c r="J62" t="n" s="8">
        <v>130.0</v>
      </c>
      <c r="K62" s="13">
        <f>J62/E62</f>
      </c>
      <c r="L62" s="13">
        <f>C62/B62</f>
      </c>
    </row>
    <row r="63">
      <c r="A63" t="s" s="4">
        <v>71</v>
      </c>
      <c r="B63" t="n" s="4">
        <v>665.0</v>
      </c>
      <c r="C63" t="n" s="4">
        <v>430.0</v>
      </c>
      <c r="D63" t="n" s="4">
        <v>0.0</v>
      </c>
      <c r="E63" t="n" s="4">
        <v>430.0</v>
      </c>
      <c r="F63" t="n" s="4">
        <v>20.0</v>
      </c>
      <c r="G63" s="12">
        <f>F63/E63</f>
      </c>
      <c r="H63" t="n" s="4">
        <v>209.0</v>
      </c>
      <c r="I63" s="12">
        <f>H63/E63</f>
      </c>
      <c r="J63" t="n" s="4">
        <v>201.0</v>
      </c>
      <c r="K63" s="12">
        <f>J63/E63</f>
      </c>
      <c r="L63" s="12">
        <f>C63/B63</f>
      </c>
    </row>
    <row r="64">
      <c r="A64" t="s" s="8">
        <v>72</v>
      </c>
      <c r="B64" t="n" s="8">
        <v>559.0</v>
      </c>
      <c r="C64" t="n" s="8">
        <v>313.0</v>
      </c>
      <c r="D64" t="n" s="8">
        <v>0.0</v>
      </c>
      <c r="E64" t="n" s="8">
        <v>313.0</v>
      </c>
      <c r="F64" t="n" s="8">
        <v>12.0</v>
      </c>
      <c r="G64" s="13">
        <f>F64/E64</f>
      </c>
      <c r="H64" t="n" s="8">
        <v>152.0</v>
      </c>
      <c r="I64" s="13">
        <f>H64/E64</f>
      </c>
      <c r="J64" t="n" s="8">
        <v>149.0</v>
      </c>
      <c r="K64" s="13">
        <f>J64/E64</f>
      </c>
      <c r="L64" s="13">
        <f>C64/B64</f>
      </c>
    </row>
    <row r="65">
      <c r="A65" t="s" s="4">
        <v>73</v>
      </c>
      <c r="B65" t="n" s="4">
        <v>1715.0</v>
      </c>
      <c r="C65" t="n" s="4">
        <v>999.0</v>
      </c>
      <c r="D65" t="n" s="4">
        <v>10.0</v>
      </c>
      <c r="E65" t="n" s="4">
        <v>989.0</v>
      </c>
      <c r="F65" t="n" s="4">
        <v>58.0</v>
      </c>
      <c r="G65" s="12">
        <f>F65/E65</f>
      </c>
      <c r="H65" t="n" s="4">
        <v>512.0</v>
      </c>
      <c r="I65" s="12">
        <f>H65/E65</f>
      </c>
      <c r="J65" t="n" s="4">
        <v>419.0</v>
      </c>
      <c r="K65" s="12">
        <f>J65/E65</f>
      </c>
      <c r="L65" s="12">
        <f>C65/B65</f>
      </c>
    </row>
    <row r="66">
      <c r="A66" t="s" s="8">
        <v>74</v>
      </c>
      <c r="B66" t="n" s="8">
        <v>702.0</v>
      </c>
      <c r="C66" t="n" s="8">
        <v>413.0</v>
      </c>
      <c r="D66" t="n" s="8">
        <v>0.0</v>
      </c>
      <c r="E66" t="n" s="8">
        <v>413.0</v>
      </c>
      <c r="F66" t="n" s="8">
        <v>15.0</v>
      </c>
      <c r="G66" s="13">
        <f>F66/E66</f>
      </c>
      <c r="H66" t="n" s="8">
        <v>184.0</v>
      </c>
      <c r="I66" s="13">
        <f>H66/E66</f>
      </c>
      <c r="J66" t="n" s="8">
        <v>214.0</v>
      </c>
      <c r="K66" s="13">
        <f>J66/E66</f>
      </c>
      <c r="L66" s="13">
        <f>C66/B66</f>
      </c>
    </row>
    <row r="67">
      <c r="A67" t="s" s="4">
        <v>75</v>
      </c>
      <c r="B67" t="n" s="4">
        <v>4081.0</v>
      </c>
      <c r="C67" t="n" s="4">
        <v>2216.0</v>
      </c>
      <c r="D67" t="n" s="4">
        <v>1.0</v>
      </c>
      <c r="E67" t="n" s="4">
        <v>2215.0</v>
      </c>
      <c r="F67" t="n" s="4">
        <v>126.0</v>
      </c>
      <c r="G67" s="12">
        <f>F67/E67</f>
      </c>
      <c r="H67" t="n" s="4">
        <v>1079.0</v>
      </c>
      <c r="I67" s="12">
        <f>H67/E67</f>
      </c>
      <c r="J67" t="n" s="4">
        <v>1010.0</v>
      </c>
      <c r="K67" s="12">
        <f>J67/E67</f>
      </c>
      <c r="L67" s="12">
        <f>C67/B67</f>
      </c>
    </row>
    <row r="68">
      <c r="A68" t="s" s="8">
        <v>76</v>
      </c>
      <c r="B68" t="n" s="8">
        <v>744.0</v>
      </c>
      <c r="C68" t="n" s="8">
        <v>374.0</v>
      </c>
      <c r="D68" t="n" s="8">
        <v>0.0</v>
      </c>
      <c r="E68" t="n" s="8">
        <v>374.0</v>
      </c>
      <c r="F68" t="n" s="8">
        <v>14.0</v>
      </c>
      <c r="G68" s="13">
        <f>F68/E68</f>
      </c>
      <c r="H68" t="n" s="8">
        <v>172.0</v>
      </c>
      <c r="I68" s="13">
        <f>H68/E68</f>
      </c>
      <c r="J68" t="n" s="8">
        <v>188.0</v>
      </c>
      <c r="K68" s="13">
        <f>J68/E68</f>
      </c>
      <c r="L68" s="13">
        <f>C68/B68</f>
      </c>
    </row>
    <row r="69">
      <c r="A69" t="s" s="4">
        <v>77</v>
      </c>
      <c r="B69" t="n" s="4">
        <v>732.0</v>
      </c>
      <c r="C69" t="n" s="4">
        <v>445.0</v>
      </c>
      <c r="D69" t="n" s="4">
        <v>1.0</v>
      </c>
      <c r="E69" t="n" s="4">
        <v>444.0</v>
      </c>
      <c r="F69" t="n" s="4">
        <v>19.0</v>
      </c>
      <c r="G69" s="12">
        <f>F69/E69</f>
      </c>
      <c r="H69" t="n" s="4">
        <v>198.0</v>
      </c>
      <c r="I69" s="12">
        <f>H69/E69</f>
      </c>
      <c r="J69" t="n" s="4">
        <v>227.0</v>
      </c>
      <c r="K69" s="12">
        <f>J69/E69</f>
      </c>
      <c r="L69" s="12">
        <f>C69/B69</f>
      </c>
    </row>
    <row r="70">
      <c r="A70" t="s" s="8">
        <v>78</v>
      </c>
      <c r="B70" t="n" s="8">
        <v>530.0</v>
      </c>
      <c r="C70" t="n" s="8">
        <v>275.0</v>
      </c>
      <c r="D70" t="n" s="8">
        <v>1.0</v>
      </c>
      <c r="E70" t="n" s="8">
        <v>274.0</v>
      </c>
      <c r="F70" t="n" s="8">
        <v>12.0</v>
      </c>
      <c r="G70" s="13">
        <f>F70/E70</f>
      </c>
      <c r="H70" t="n" s="8">
        <v>124.0</v>
      </c>
      <c r="I70" s="13">
        <f>H70/E70</f>
      </c>
      <c r="J70" t="n" s="8">
        <v>138.0</v>
      </c>
      <c r="K70" s="13">
        <f>J70/E70</f>
      </c>
      <c r="L70" s="13">
        <f>C70/B70</f>
      </c>
    </row>
    <row r="71">
      <c r="A71" t="s" s="4">
        <v>79</v>
      </c>
      <c r="B71" t="n" s="4">
        <v>1709.0</v>
      </c>
      <c r="C71" t="n" s="4">
        <v>1057.0</v>
      </c>
      <c r="D71" t="n" s="4">
        <v>0.0</v>
      </c>
      <c r="E71" t="n" s="4">
        <v>1057.0</v>
      </c>
      <c r="F71" t="n" s="4">
        <v>72.0</v>
      </c>
      <c r="G71" s="12">
        <f>F71/E71</f>
      </c>
      <c r="H71" t="n" s="4">
        <v>453.0</v>
      </c>
      <c r="I71" s="12">
        <f>H71/E71</f>
      </c>
      <c r="J71" t="n" s="4">
        <v>532.0</v>
      </c>
      <c r="K71" s="12">
        <f>J71/E71</f>
      </c>
      <c r="L71" s="12">
        <f>C71/B71</f>
      </c>
    </row>
    <row r="72">
      <c r="A72" t="s" s="8">
        <v>80</v>
      </c>
      <c r="B72" t="n" s="8">
        <v>814.0</v>
      </c>
      <c r="C72" t="n" s="8">
        <v>488.0</v>
      </c>
      <c r="D72" t="n" s="8">
        <v>0.0</v>
      </c>
      <c r="E72" t="n" s="8">
        <v>488.0</v>
      </c>
      <c r="F72" t="n" s="8">
        <v>26.0</v>
      </c>
      <c r="G72" s="13">
        <f>F72/E72</f>
      </c>
      <c r="H72" t="n" s="8">
        <v>172.0</v>
      </c>
      <c r="I72" s="13">
        <f>H72/E72</f>
      </c>
      <c r="J72" t="n" s="8">
        <v>290.0</v>
      </c>
      <c r="K72" s="13">
        <f>J72/E72</f>
      </c>
      <c r="L72" s="13">
        <f>C72/B72</f>
      </c>
    </row>
    <row r="73">
      <c r="A73" t="s" s="4">
        <v>81</v>
      </c>
      <c r="B73" t="n" s="4">
        <v>1023.0</v>
      </c>
      <c r="C73" t="n" s="4">
        <v>564.0</v>
      </c>
      <c r="D73" t="n" s="4">
        <v>1.0</v>
      </c>
      <c r="E73" t="n" s="4">
        <v>563.0</v>
      </c>
      <c r="F73" t="n" s="4">
        <v>18.0</v>
      </c>
      <c r="G73" s="12">
        <f>F73/E73</f>
      </c>
      <c r="H73" t="n" s="4">
        <v>249.0</v>
      </c>
      <c r="I73" s="12">
        <f>H73/E73</f>
      </c>
      <c r="J73" t="n" s="4">
        <v>296.0</v>
      </c>
      <c r="K73" s="12">
        <f>J73/E73</f>
      </c>
      <c r="L73" s="12">
        <f>C73/B73</f>
      </c>
    </row>
    <row r="74">
      <c r="A74" t="s" s="8">
        <v>82</v>
      </c>
      <c r="B74" t="n" s="8">
        <v>320.0</v>
      </c>
      <c r="C74" t="n" s="8">
        <v>167.0</v>
      </c>
      <c r="D74" t="n" s="8">
        <v>0.0</v>
      </c>
      <c r="E74" t="n" s="8">
        <v>167.0</v>
      </c>
      <c r="F74" t="n" s="8">
        <v>11.0</v>
      </c>
      <c r="G74" s="13">
        <f>F74/E74</f>
      </c>
      <c r="H74" t="n" s="8">
        <v>90.0</v>
      </c>
      <c r="I74" s="13">
        <f>H74/E74</f>
      </c>
      <c r="J74" t="n" s="8">
        <v>66.0</v>
      </c>
      <c r="K74" s="13">
        <f>J74/E74</f>
      </c>
      <c r="L74" s="13">
        <f>C74/B74</f>
      </c>
    </row>
    <row r="75">
      <c r="A75" t="s" s="4">
        <v>83</v>
      </c>
      <c r="B75" t="n" s="4">
        <v>498.0</v>
      </c>
      <c r="C75" t="n" s="4">
        <v>265.0</v>
      </c>
      <c r="D75" t="n" s="4">
        <v>0.0</v>
      </c>
      <c r="E75" t="n" s="4">
        <v>265.0</v>
      </c>
      <c r="F75" t="n" s="4">
        <v>10.0</v>
      </c>
      <c r="G75" s="12">
        <f>F75/E75</f>
      </c>
      <c r="H75" t="n" s="4">
        <v>105.0</v>
      </c>
      <c r="I75" s="12">
        <f>H75/E75</f>
      </c>
      <c r="J75" t="n" s="4">
        <v>150.0</v>
      </c>
      <c r="K75" s="12">
        <f>J75/E75</f>
      </c>
      <c r="L75" s="12">
        <f>C75/B75</f>
      </c>
    </row>
    <row r="76">
      <c r="A76" t="s" s="8">
        <v>84</v>
      </c>
      <c r="B76" t="n" s="8">
        <v>1923.0</v>
      </c>
      <c r="C76" t="n" s="8">
        <v>1052.0</v>
      </c>
      <c r="D76" t="n" s="8">
        <v>2.0</v>
      </c>
      <c r="E76" t="n" s="8">
        <v>1050.0</v>
      </c>
      <c r="F76" t="n" s="8">
        <v>31.0</v>
      </c>
      <c r="G76" s="13">
        <f>F76/E76</f>
      </c>
      <c r="H76" t="n" s="8">
        <v>436.0</v>
      </c>
      <c r="I76" s="13">
        <f>H76/E76</f>
      </c>
      <c r="J76" t="n" s="8">
        <v>583.0</v>
      </c>
      <c r="K76" s="13">
        <f>J76/E76</f>
      </c>
      <c r="L76" s="13">
        <f>C76/B76</f>
      </c>
    </row>
    <row r="77">
      <c r="A77" t="s" s="4">
        <v>85</v>
      </c>
      <c r="B77" t="n" s="4">
        <v>1291.0</v>
      </c>
      <c r="C77" t="n" s="4">
        <v>709.0</v>
      </c>
      <c r="D77" t="n" s="4">
        <v>0.0</v>
      </c>
      <c r="E77" t="n" s="4">
        <v>709.0</v>
      </c>
      <c r="F77" t="n" s="4">
        <v>21.0</v>
      </c>
      <c r="G77" s="12">
        <f>F77/E77</f>
      </c>
      <c r="H77" t="n" s="4">
        <v>266.0</v>
      </c>
      <c r="I77" s="12">
        <f>H77/E77</f>
      </c>
      <c r="J77" t="n" s="4">
        <v>422.0</v>
      </c>
      <c r="K77" s="12">
        <f>J77/E77</f>
      </c>
      <c r="L77" s="12">
        <f>C77/B77</f>
      </c>
    </row>
    <row r="78">
      <c r="A78" t="s" s="8">
        <v>86</v>
      </c>
      <c r="B78" t="n" s="8">
        <v>759.0</v>
      </c>
      <c r="C78" t="n" s="8">
        <v>456.0</v>
      </c>
      <c r="D78" t="n" s="8">
        <v>0.0</v>
      </c>
      <c r="E78" t="n" s="8">
        <v>456.0</v>
      </c>
      <c r="F78" t="n" s="8">
        <v>9.0</v>
      </c>
      <c r="G78" s="13">
        <f>F78/E78</f>
      </c>
      <c r="H78" t="n" s="8">
        <v>219.0</v>
      </c>
      <c r="I78" s="13">
        <f>H78/E78</f>
      </c>
      <c r="J78" t="n" s="8">
        <v>228.0</v>
      </c>
      <c r="K78" s="13">
        <f>J78/E78</f>
      </c>
      <c r="L78" s="13">
        <f>C78/B78</f>
      </c>
    </row>
    <row r="79">
      <c r="A79" t="s" s="4">
        <v>87</v>
      </c>
      <c r="B79" t="n" s="4">
        <v>225.0</v>
      </c>
      <c r="C79" t="n" s="4">
        <v>122.0</v>
      </c>
      <c r="D79" t="n" s="4">
        <v>0.0</v>
      </c>
      <c r="E79" t="n" s="4">
        <v>122.0</v>
      </c>
      <c r="F79" t="n" s="4">
        <v>2.0</v>
      </c>
      <c r="G79" s="12">
        <f>F79/E79</f>
      </c>
      <c r="H79" t="n" s="4">
        <v>59.0</v>
      </c>
      <c r="I79" s="12">
        <f>H79/E79</f>
      </c>
      <c r="J79" t="n" s="4">
        <v>61.0</v>
      </c>
      <c r="K79" s="12">
        <f>J79/E79</f>
      </c>
      <c r="L79" s="12">
        <f>C79/B79</f>
      </c>
    </row>
    <row r="80">
      <c r="A80" t="s" s="8">
        <v>88</v>
      </c>
      <c r="B80" t="n" s="8">
        <v>125.0</v>
      </c>
      <c r="C80" t="n" s="8">
        <v>75.0</v>
      </c>
      <c r="D80" t="n" s="8">
        <v>0.0</v>
      </c>
      <c r="E80" t="n" s="8">
        <v>75.0</v>
      </c>
      <c r="F80" t="n" s="8">
        <v>2.0</v>
      </c>
      <c r="G80" s="13">
        <f>F80/E80</f>
      </c>
      <c r="H80" t="n" s="8">
        <v>34.0</v>
      </c>
      <c r="I80" s="13">
        <f>H80/E80</f>
      </c>
      <c r="J80" t="n" s="8">
        <v>39.0</v>
      </c>
      <c r="K80" s="13">
        <f>J80/E80</f>
      </c>
      <c r="L80" s="13">
        <f>C80/B80</f>
      </c>
    </row>
    <row r="81">
      <c r="A81" t="s" s="4">
        <v>89</v>
      </c>
      <c r="B81" t="n" s="4">
        <v>421.0</v>
      </c>
      <c r="C81" t="n" s="4">
        <v>268.0</v>
      </c>
      <c r="D81" t="n" s="4">
        <v>1.0</v>
      </c>
      <c r="E81" t="n" s="4">
        <v>267.0</v>
      </c>
      <c r="F81" t="n" s="4">
        <v>9.0</v>
      </c>
      <c r="G81" s="12">
        <f>F81/E81</f>
      </c>
      <c r="H81" t="n" s="4">
        <v>86.0</v>
      </c>
      <c r="I81" s="12">
        <f>H81/E81</f>
      </c>
      <c r="J81" t="n" s="4">
        <v>172.0</v>
      </c>
      <c r="K81" s="12">
        <f>J81/E81</f>
      </c>
      <c r="L81" s="12">
        <f>C81/B81</f>
      </c>
    </row>
    <row r="82">
      <c r="A82" t="s" s="8">
        <v>90</v>
      </c>
      <c r="B82" t="n" s="8">
        <v>387.0</v>
      </c>
      <c r="C82" t="n" s="8">
        <v>239.0</v>
      </c>
      <c r="D82" t="n" s="8">
        <v>0.0</v>
      </c>
      <c r="E82" t="n" s="8">
        <v>239.0</v>
      </c>
      <c r="F82" t="n" s="8">
        <v>10.0</v>
      </c>
      <c r="G82" s="13">
        <f>F82/E82</f>
      </c>
      <c r="H82" t="n" s="8">
        <v>94.0</v>
      </c>
      <c r="I82" s="13">
        <f>H82/E82</f>
      </c>
      <c r="J82" t="n" s="8">
        <v>135.0</v>
      </c>
      <c r="K82" s="13">
        <f>J82/E82</f>
      </c>
      <c r="L82" s="13">
        <f>C82/B82</f>
      </c>
    </row>
    <row r="83">
      <c r="A83" t="s" s="4">
        <v>91</v>
      </c>
      <c r="B83" t="n" s="4">
        <v>1843.0</v>
      </c>
      <c r="C83" t="n" s="4">
        <v>960.0</v>
      </c>
      <c r="D83" t="n" s="4">
        <v>0.0</v>
      </c>
      <c r="E83" t="n" s="4">
        <v>960.0</v>
      </c>
      <c r="F83" t="n" s="4">
        <v>58.0</v>
      </c>
      <c r="G83" s="12">
        <f>F83/E83</f>
      </c>
      <c r="H83" t="n" s="4">
        <v>453.0</v>
      </c>
      <c r="I83" s="12">
        <f>H83/E83</f>
      </c>
      <c r="J83" t="n" s="4">
        <v>449.0</v>
      </c>
      <c r="K83" s="12">
        <f>J83/E83</f>
      </c>
      <c r="L83" s="12">
        <f>C83/B83</f>
      </c>
    </row>
    <row r="84">
      <c r="A84" t="s" s="8">
        <v>92</v>
      </c>
      <c r="B84" t="n" s="8">
        <v>1120.0</v>
      </c>
      <c r="C84" t="n" s="8">
        <v>582.0</v>
      </c>
      <c r="D84" t="n" s="8">
        <v>0.0</v>
      </c>
      <c r="E84" t="n" s="8">
        <v>582.0</v>
      </c>
      <c r="F84" t="n" s="8">
        <v>42.0</v>
      </c>
      <c r="G84" s="13">
        <f>F84/E84</f>
      </c>
      <c r="H84" t="n" s="8">
        <v>244.0</v>
      </c>
      <c r="I84" s="13">
        <f>H84/E84</f>
      </c>
      <c r="J84" t="n" s="8">
        <v>296.0</v>
      </c>
      <c r="K84" s="13">
        <f>J84/E84</f>
      </c>
      <c r="L84" s="13">
        <f>C84/B84</f>
      </c>
    </row>
    <row r="85">
      <c r="A85" t="s" s="4">
        <v>93</v>
      </c>
      <c r="B85" t="n" s="4">
        <v>325.0</v>
      </c>
      <c r="C85" t="n" s="4">
        <v>183.0</v>
      </c>
      <c r="D85" t="n" s="4">
        <v>0.0</v>
      </c>
      <c r="E85" t="n" s="4">
        <v>183.0</v>
      </c>
      <c r="F85" t="n" s="4">
        <v>11.0</v>
      </c>
      <c r="G85" s="12">
        <f>F85/E85</f>
      </c>
      <c r="H85" t="n" s="4">
        <v>77.0</v>
      </c>
      <c r="I85" s="12">
        <f>H85/E85</f>
      </c>
      <c r="J85" t="n" s="4">
        <v>95.0</v>
      </c>
      <c r="K85" s="12">
        <f>J85/E85</f>
      </c>
      <c r="L85" s="12">
        <f>C85/B85</f>
      </c>
    </row>
    <row r="86">
      <c r="A86" t="s" s="8">
        <v>94</v>
      </c>
      <c r="B86" t="n" s="8">
        <v>524.0</v>
      </c>
      <c r="C86" t="n" s="8">
        <v>296.0</v>
      </c>
      <c r="D86" t="n" s="8">
        <v>0.0</v>
      </c>
      <c r="E86" t="n" s="8">
        <v>296.0</v>
      </c>
      <c r="F86" t="n" s="8">
        <v>13.0</v>
      </c>
      <c r="G86" s="13">
        <f>F86/E86</f>
      </c>
      <c r="H86" t="n" s="8">
        <v>115.0</v>
      </c>
      <c r="I86" s="13">
        <f>H86/E86</f>
      </c>
      <c r="J86" t="n" s="8">
        <v>168.0</v>
      </c>
      <c r="K86" s="13">
        <f>J86/E86</f>
      </c>
      <c r="L86" s="13">
        <f>C86/B86</f>
      </c>
    </row>
    <row r="87">
      <c r="A87" t="s" s="4">
        <v>95</v>
      </c>
      <c r="B87" t="n" s="4">
        <v>212.0</v>
      </c>
      <c r="C87" t="n" s="4">
        <v>149.0</v>
      </c>
      <c r="D87" t="n" s="4">
        <v>4.0</v>
      </c>
      <c r="E87" t="n" s="4">
        <v>145.0</v>
      </c>
      <c r="F87" t="n" s="4">
        <v>1.0</v>
      </c>
      <c r="G87" s="12">
        <f>F87/E87</f>
      </c>
      <c r="H87" t="n" s="4">
        <v>59.0</v>
      </c>
      <c r="I87" s="12">
        <f>H87/E87</f>
      </c>
      <c r="J87" t="n" s="4">
        <v>85.0</v>
      </c>
      <c r="K87" s="12">
        <f>J87/E87</f>
      </c>
      <c r="L87" s="12">
        <f>C87/B87</f>
      </c>
    </row>
    <row r="88">
      <c r="A88" t="s" s="8">
        <v>96</v>
      </c>
      <c r="B88" t="n" s="8">
        <v>538.0</v>
      </c>
      <c r="C88" t="n" s="8">
        <v>328.0</v>
      </c>
      <c r="D88" t="n" s="8">
        <v>0.0</v>
      </c>
      <c r="E88" t="n" s="8">
        <v>328.0</v>
      </c>
      <c r="F88" t="n" s="8">
        <v>14.0</v>
      </c>
      <c r="G88" s="13">
        <f>F88/E88</f>
      </c>
      <c r="H88" t="n" s="8">
        <v>115.0</v>
      </c>
      <c r="I88" s="13">
        <f>H88/E88</f>
      </c>
      <c r="J88" t="n" s="8">
        <v>199.0</v>
      </c>
      <c r="K88" s="13">
        <f>J88/E88</f>
      </c>
      <c r="L88" s="13">
        <f>C88/B88</f>
      </c>
    </row>
    <row r="89">
      <c r="A89" t="s" s="4">
        <v>97</v>
      </c>
      <c r="B89" t="n" s="4">
        <v>787.0</v>
      </c>
      <c r="C89" t="n" s="4">
        <v>448.0</v>
      </c>
      <c r="D89" t="n" s="4">
        <v>0.0</v>
      </c>
      <c r="E89" t="n" s="4">
        <v>448.0</v>
      </c>
      <c r="F89" t="n" s="4">
        <v>23.0</v>
      </c>
      <c r="G89" s="12">
        <f>F89/E89</f>
      </c>
      <c r="H89" t="n" s="4">
        <v>171.0</v>
      </c>
      <c r="I89" s="12">
        <f>H89/E89</f>
      </c>
      <c r="J89" t="n" s="4">
        <v>254.0</v>
      </c>
      <c r="K89" s="12">
        <f>J89/E89</f>
      </c>
      <c r="L89" s="12">
        <f>C89/B89</f>
      </c>
    </row>
    <row r="90">
      <c r="A90" t="s" s="8">
        <v>98</v>
      </c>
      <c r="B90" t="n" s="8">
        <v>886.0</v>
      </c>
      <c r="C90" t="n" s="8">
        <v>497.0</v>
      </c>
      <c r="D90" t="n" s="8">
        <v>1.0</v>
      </c>
      <c r="E90" t="n" s="8">
        <v>496.0</v>
      </c>
      <c r="F90" t="n" s="8">
        <v>28.0</v>
      </c>
      <c r="G90" s="13">
        <f>F90/E90</f>
      </c>
      <c r="H90" t="n" s="8">
        <v>187.0</v>
      </c>
      <c r="I90" s="13">
        <f>H90/E90</f>
      </c>
      <c r="J90" t="n" s="8">
        <v>281.0</v>
      </c>
      <c r="K90" s="13">
        <f>J90/E90</f>
      </c>
      <c r="L90" s="13">
        <f>C90/B90</f>
      </c>
    </row>
    <row r="91">
      <c r="A91" t="s" s="4">
        <v>99</v>
      </c>
      <c r="B91" t="n" s="4">
        <v>710.0</v>
      </c>
      <c r="C91" t="n" s="4">
        <v>406.0</v>
      </c>
      <c r="D91" t="n" s="4">
        <v>0.0</v>
      </c>
      <c r="E91" t="n" s="4">
        <v>406.0</v>
      </c>
      <c r="F91" t="n" s="4">
        <v>20.0</v>
      </c>
      <c r="G91" s="12">
        <f>F91/E91</f>
      </c>
      <c r="H91" t="n" s="4">
        <v>146.0</v>
      </c>
      <c r="I91" s="12">
        <f>H91/E91</f>
      </c>
      <c r="J91" t="n" s="4">
        <v>240.0</v>
      </c>
      <c r="K91" s="12">
        <f>J91/E91</f>
      </c>
      <c r="L91" s="12">
        <f>C91/B91</f>
      </c>
    </row>
    <row r="92">
      <c r="A92" t="s" s="8">
        <v>100</v>
      </c>
      <c r="B92" t="n" s="8">
        <v>898.0</v>
      </c>
      <c r="C92" t="n" s="8">
        <v>572.0</v>
      </c>
      <c r="D92" t="n" s="8">
        <v>0.0</v>
      </c>
      <c r="E92" t="n" s="8">
        <v>572.0</v>
      </c>
      <c r="F92" t="n" s="8">
        <v>17.0</v>
      </c>
      <c r="G92" s="13">
        <f>F92/E92</f>
      </c>
      <c r="H92" t="n" s="8">
        <v>273.0</v>
      </c>
      <c r="I92" s="13">
        <f>H92/E92</f>
      </c>
      <c r="J92" t="n" s="8">
        <v>282.0</v>
      </c>
      <c r="K92" s="13">
        <f>J92/E92</f>
      </c>
      <c r="L92" s="13">
        <f>C92/B92</f>
      </c>
    </row>
    <row r="93">
      <c r="A93" t="s" s="9">
        <v>64</v>
      </c>
      <c r="B93" s="7">
        <f>SUM(B57:B92)</f>
      </c>
      <c r="C93" s="7">
        <f>SUM(C57:C92)</f>
      </c>
      <c r="D93" s="7">
        <f>SUM(D57:D92)</f>
      </c>
      <c r="E93" s="7">
        <f>SUM(E57:E92)</f>
      </c>
      <c r="F93" s="7">
        <f>SUM(F57:F92)</f>
      </c>
      <c r="G93" s="14">
        <f>F93/E93</f>
      </c>
      <c r="H93" s="7">
        <f>SUM(H57:H92)</f>
      </c>
      <c r="I93" s="14">
        <f>H93/E93</f>
      </c>
      <c r="J93" s="7">
        <f>SUM(J57:J92)</f>
      </c>
      <c r="K93" s="14">
        <f>J93/E93</f>
      </c>
      <c r="L93" s="14">
        <f>C93/B93</f>
      </c>
    </row>
    <row r="94"/>
    <row r="95">
      <c r="A95" t="s" s="7">
        <v>101</v>
      </c>
    </row>
    <row r="96">
      <c r="A96" t="s" s="4">
        <v>102</v>
      </c>
      <c r="B96" t="n" s="4">
        <v>237.0</v>
      </c>
      <c r="C96" t="n" s="4">
        <v>123.0</v>
      </c>
      <c r="D96" t="n" s="4">
        <v>0.0</v>
      </c>
      <c r="E96" t="n" s="4">
        <v>123.0</v>
      </c>
      <c r="F96" t="n" s="4">
        <v>3.0</v>
      </c>
      <c r="G96" s="12">
        <f>F96/E96</f>
      </c>
      <c r="H96" t="n" s="4">
        <v>50.0</v>
      </c>
      <c r="I96" s="12">
        <f>H96/E96</f>
      </c>
      <c r="J96" t="n" s="4">
        <v>70.0</v>
      </c>
      <c r="K96" s="12">
        <f>J96/E96</f>
      </c>
      <c r="L96" s="12">
        <f>C96/B96</f>
      </c>
    </row>
    <row r="97">
      <c r="A97" t="s" s="8">
        <v>103</v>
      </c>
      <c r="B97" t="n" s="8">
        <v>475.0</v>
      </c>
      <c r="C97" t="n" s="8">
        <v>273.0</v>
      </c>
      <c r="D97" t="n" s="8">
        <v>0.0</v>
      </c>
      <c r="E97" t="n" s="8">
        <v>273.0</v>
      </c>
      <c r="F97" t="n" s="8">
        <v>13.0</v>
      </c>
      <c r="G97" s="13">
        <f>F97/E97</f>
      </c>
      <c r="H97" t="n" s="8">
        <v>123.0</v>
      </c>
      <c r="I97" s="13">
        <f>H97/E97</f>
      </c>
      <c r="J97" t="n" s="8">
        <v>137.0</v>
      </c>
      <c r="K97" s="13">
        <f>J97/E97</f>
      </c>
      <c r="L97" s="13">
        <f>C97/B97</f>
      </c>
    </row>
    <row r="98">
      <c r="A98" t="s" s="4">
        <v>104</v>
      </c>
      <c r="B98" t="n" s="4">
        <v>734.0</v>
      </c>
      <c r="C98" t="n" s="4">
        <v>407.0</v>
      </c>
      <c r="D98" t="n" s="4">
        <v>2.0</v>
      </c>
      <c r="E98" t="n" s="4">
        <v>405.0</v>
      </c>
      <c r="F98" t="n" s="4">
        <v>18.0</v>
      </c>
      <c r="G98" s="12">
        <f>F98/E98</f>
      </c>
      <c r="H98" t="n" s="4">
        <v>196.0</v>
      </c>
      <c r="I98" s="12">
        <f>H98/E98</f>
      </c>
      <c r="J98" t="n" s="4">
        <v>191.0</v>
      </c>
      <c r="K98" s="12">
        <f>J98/E98</f>
      </c>
      <c r="L98" s="12">
        <f>C98/B98</f>
      </c>
    </row>
    <row r="99">
      <c r="A99" t="s" s="8">
        <v>105</v>
      </c>
      <c r="B99" t="n" s="8">
        <v>769.0</v>
      </c>
      <c r="C99" t="n" s="8">
        <v>443.0</v>
      </c>
      <c r="D99" t="n" s="8">
        <v>0.0</v>
      </c>
      <c r="E99" t="n" s="8">
        <v>443.0</v>
      </c>
      <c r="F99" t="n" s="8">
        <v>18.0</v>
      </c>
      <c r="G99" s="13">
        <f>F99/E99</f>
      </c>
      <c r="H99" t="n" s="8">
        <v>236.0</v>
      </c>
      <c r="I99" s="13">
        <f>H99/E99</f>
      </c>
      <c r="J99" t="n" s="8">
        <v>189.0</v>
      </c>
      <c r="K99" s="13">
        <f>J99/E99</f>
      </c>
      <c r="L99" s="13">
        <f>C99/B99</f>
      </c>
    </row>
    <row r="100">
      <c r="A100" t="s" s="4">
        <v>106</v>
      </c>
      <c r="B100" t="n" s="4">
        <v>690.0</v>
      </c>
      <c r="C100" t="n" s="4">
        <v>343.0</v>
      </c>
      <c r="D100" t="n" s="4">
        <v>0.0</v>
      </c>
      <c r="E100" t="n" s="4">
        <v>343.0</v>
      </c>
      <c r="F100" t="n" s="4">
        <v>13.0</v>
      </c>
      <c r="G100" s="12">
        <f>F100/E100</f>
      </c>
      <c r="H100" t="n" s="4">
        <v>134.0</v>
      </c>
      <c r="I100" s="12">
        <f>H100/E100</f>
      </c>
      <c r="J100" t="n" s="4">
        <v>196.0</v>
      </c>
      <c r="K100" s="12">
        <f>J100/E100</f>
      </c>
      <c r="L100" s="12">
        <f>C100/B100</f>
      </c>
    </row>
    <row r="101">
      <c r="A101" t="s" s="8">
        <v>107</v>
      </c>
      <c r="B101" t="n" s="8">
        <v>308.0</v>
      </c>
      <c r="C101" t="n" s="8">
        <v>162.0</v>
      </c>
      <c r="D101" t="n" s="8">
        <v>1.0</v>
      </c>
      <c r="E101" t="n" s="8">
        <v>161.0</v>
      </c>
      <c r="F101" t="n" s="8">
        <v>2.0</v>
      </c>
      <c r="G101" s="13">
        <f>F101/E101</f>
      </c>
      <c r="H101" t="n" s="8">
        <v>63.0</v>
      </c>
      <c r="I101" s="13">
        <f>H101/E101</f>
      </c>
      <c r="J101" t="n" s="8">
        <v>96.0</v>
      </c>
      <c r="K101" s="13">
        <f>J101/E101</f>
      </c>
      <c r="L101" s="13">
        <f>C101/B101</f>
      </c>
    </row>
    <row r="102">
      <c r="A102" t="s" s="4">
        <v>108</v>
      </c>
      <c r="B102" t="n" s="4">
        <v>194.0</v>
      </c>
      <c r="C102" t="n" s="4">
        <v>112.0</v>
      </c>
      <c r="D102" t="n" s="4">
        <v>0.0</v>
      </c>
      <c r="E102" t="n" s="4">
        <v>112.0</v>
      </c>
      <c r="F102" t="n" s="4">
        <v>7.0</v>
      </c>
      <c r="G102" s="12">
        <f>F102/E102</f>
      </c>
      <c r="H102" t="n" s="4">
        <v>45.0</v>
      </c>
      <c r="I102" s="12">
        <f>H102/E102</f>
      </c>
      <c r="J102" t="n" s="4">
        <v>60.0</v>
      </c>
      <c r="K102" s="12">
        <f>J102/E102</f>
      </c>
      <c r="L102" s="12">
        <f>C102/B102</f>
      </c>
    </row>
    <row r="103">
      <c r="A103" t="s" s="8">
        <v>109</v>
      </c>
      <c r="B103" t="n" s="8">
        <v>148.0</v>
      </c>
      <c r="C103" t="n" s="8">
        <v>93.0</v>
      </c>
      <c r="D103" t="n" s="8">
        <v>1.0</v>
      </c>
      <c r="E103" t="n" s="8">
        <v>92.0</v>
      </c>
      <c r="F103" t="n" s="8">
        <v>3.0</v>
      </c>
      <c r="G103" s="13">
        <f>F103/E103</f>
      </c>
      <c r="H103" t="n" s="8">
        <v>38.0</v>
      </c>
      <c r="I103" s="13">
        <f>H103/E103</f>
      </c>
      <c r="J103" t="n" s="8">
        <v>51.0</v>
      </c>
      <c r="K103" s="13">
        <f>J103/E103</f>
      </c>
      <c r="L103" s="13">
        <f>C103/B103</f>
      </c>
    </row>
    <row r="104">
      <c r="A104" t="s" s="4">
        <v>110</v>
      </c>
      <c r="B104" t="n" s="4">
        <v>385.0</v>
      </c>
      <c r="C104" t="n" s="4">
        <v>229.0</v>
      </c>
      <c r="D104" t="n" s="4">
        <v>0.0</v>
      </c>
      <c r="E104" t="n" s="4">
        <v>229.0</v>
      </c>
      <c r="F104" t="n" s="4">
        <v>9.0</v>
      </c>
      <c r="G104" s="12">
        <f>F104/E104</f>
      </c>
      <c r="H104" t="n" s="4">
        <v>81.0</v>
      </c>
      <c r="I104" s="12">
        <f>H104/E104</f>
      </c>
      <c r="J104" t="n" s="4">
        <v>139.0</v>
      </c>
      <c r="K104" s="12">
        <f>J104/E104</f>
      </c>
      <c r="L104" s="12">
        <f>C104/B104</f>
      </c>
    </row>
    <row r="105">
      <c r="A105" t="s" s="8">
        <v>111</v>
      </c>
      <c r="B105" t="n" s="8">
        <v>196.0</v>
      </c>
      <c r="C105" t="n" s="8">
        <v>122.0</v>
      </c>
      <c r="D105" t="n" s="8">
        <v>0.0</v>
      </c>
      <c r="E105" t="n" s="8">
        <v>122.0</v>
      </c>
      <c r="F105" t="n" s="8">
        <v>4.0</v>
      </c>
      <c r="G105" s="13">
        <f>F105/E105</f>
      </c>
      <c r="H105" t="n" s="8">
        <v>61.0</v>
      </c>
      <c r="I105" s="13">
        <f>H105/E105</f>
      </c>
      <c r="J105" t="n" s="8">
        <v>57.0</v>
      </c>
      <c r="K105" s="13">
        <f>J105/E105</f>
      </c>
      <c r="L105" s="13">
        <f>C105/B105</f>
      </c>
    </row>
    <row r="106">
      <c r="A106" t="s" s="4">
        <v>112</v>
      </c>
      <c r="B106" t="n" s="4">
        <v>532.0</v>
      </c>
      <c r="C106" t="n" s="4">
        <v>344.0</v>
      </c>
      <c r="D106" t="n" s="4">
        <v>5.0</v>
      </c>
      <c r="E106" t="n" s="4">
        <v>339.0</v>
      </c>
      <c r="F106" t="n" s="4">
        <v>16.0</v>
      </c>
      <c r="G106" s="12">
        <f>F106/E106</f>
      </c>
      <c r="H106" t="n" s="4">
        <v>121.0</v>
      </c>
      <c r="I106" s="12">
        <f>H106/E106</f>
      </c>
      <c r="J106" t="n" s="4">
        <v>202.0</v>
      </c>
      <c r="K106" s="12">
        <f>J106/E106</f>
      </c>
      <c r="L106" s="12">
        <f>C106/B106</f>
      </c>
    </row>
    <row r="107">
      <c r="A107" t="s" s="8">
        <v>113</v>
      </c>
      <c r="B107" t="n" s="8">
        <v>434.0</v>
      </c>
      <c r="C107" t="n" s="8">
        <v>221.0</v>
      </c>
      <c r="D107" t="n" s="8">
        <v>0.0</v>
      </c>
      <c r="E107" t="n" s="8">
        <v>221.0</v>
      </c>
      <c r="F107" t="n" s="8">
        <v>8.0</v>
      </c>
      <c r="G107" s="13">
        <f>F107/E107</f>
      </c>
      <c r="H107" t="n" s="8">
        <v>75.0</v>
      </c>
      <c r="I107" s="13">
        <f>H107/E107</f>
      </c>
      <c r="J107" t="n" s="8">
        <v>138.0</v>
      </c>
      <c r="K107" s="13">
        <f>J107/E107</f>
      </c>
      <c r="L107" s="13">
        <f>C107/B107</f>
      </c>
    </row>
    <row r="108">
      <c r="A108" t="s" s="4">
        <v>114</v>
      </c>
      <c r="B108" t="n" s="4">
        <v>720.0</v>
      </c>
      <c r="C108" t="n" s="4">
        <v>358.0</v>
      </c>
      <c r="D108" t="n" s="4">
        <v>0.0</v>
      </c>
      <c r="E108" t="n" s="4">
        <v>358.0</v>
      </c>
      <c r="F108" t="n" s="4">
        <v>16.0</v>
      </c>
      <c r="G108" s="12">
        <f>F108/E108</f>
      </c>
      <c r="H108" t="n" s="4">
        <v>132.0</v>
      </c>
      <c r="I108" s="12">
        <f>H108/E108</f>
      </c>
      <c r="J108" t="n" s="4">
        <v>210.0</v>
      </c>
      <c r="K108" s="12">
        <f>J108/E108</f>
      </c>
      <c r="L108" s="12">
        <f>C108/B108</f>
      </c>
    </row>
    <row r="109">
      <c r="A109" t="s" s="8">
        <v>115</v>
      </c>
      <c r="B109" t="n" s="8">
        <v>449.0</v>
      </c>
      <c r="C109" t="n" s="8">
        <v>261.0</v>
      </c>
      <c r="D109" t="n" s="8">
        <v>0.0</v>
      </c>
      <c r="E109" t="n" s="8">
        <v>261.0</v>
      </c>
      <c r="F109" t="n" s="8">
        <v>13.0</v>
      </c>
      <c r="G109" s="13">
        <f>F109/E109</f>
      </c>
      <c r="H109" t="n" s="8">
        <v>116.0</v>
      </c>
      <c r="I109" s="13">
        <f>H109/E109</f>
      </c>
      <c r="J109" t="n" s="8">
        <v>132.0</v>
      </c>
      <c r="K109" s="13">
        <f>J109/E109</f>
      </c>
      <c r="L109" s="13">
        <f>C109/B109</f>
      </c>
    </row>
    <row r="110">
      <c r="A110" t="s" s="4">
        <v>116</v>
      </c>
      <c r="B110" t="n" s="4">
        <v>232.0</v>
      </c>
      <c r="C110" t="n" s="4">
        <v>103.0</v>
      </c>
      <c r="D110" t="n" s="4">
        <v>0.0</v>
      </c>
      <c r="E110" t="n" s="4">
        <v>103.0</v>
      </c>
      <c r="F110" t="n" s="4">
        <v>4.0</v>
      </c>
      <c r="G110" s="12">
        <f>F110/E110</f>
      </c>
      <c r="H110" t="n" s="4">
        <v>31.0</v>
      </c>
      <c r="I110" s="12">
        <f>H110/E110</f>
      </c>
      <c r="J110" t="n" s="4">
        <v>68.0</v>
      </c>
      <c r="K110" s="12">
        <f>J110/E110</f>
      </c>
      <c r="L110" s="12">
        <f>C110/B110</f>
      </c>
    </row>
    <row r="111">
      <c r="A111" t="s" s="8">
        <v>117</v>
      </c>
      <c r="B111" t="n" s="8">
        <v>3085.0</v>
      </c>
      <c r="C111" t="n" s="8">
        <v>1603.0</v>
      </c>
      <c r="D111" t="n" s="8">
        <v>0.0</v>
      </c>
      <c r="E111" t="n" s="8">
        <v>1603.0</v>
      </c>
      <c r="F111" t="n" s="8">
        <v>77.0</v>
      </c>
      <c r="G111" s="13">
        <f>F111/E111</f>
      </c>
      <c r="H111" t="n" s="8">
        <v>802.0</v>
      </c>
      <c r="I111" s="13">
        <f>H111/E111</f>
      </c>
      <c r="J111" t="n" s="8">
        <v>724.0</v>
      </c>
      <c r="K111" s="13">
        <f>J111/E111</f>
      </c>
      <c r="L111" s="13">
        <f>C111/B111</f>
      </c>
    </row>
    <row r="112">
      <c r="A112" t="s" s="4">
        <v>118</v>
      </c>
      <c r="B112" t="n" s="4">
        <v>514.0</v>
      </c>
      <c r="C112" t="n" s="4">
        <v>323.0</v>
      </c>
      <c r="D112" t="n" s="4">
        <v>1.0</v>
      </c>
      <c r="E112" t="n" s="4">
        <v>322.0</v>
      </c>
      <c r="F112" t="n" s="4">
        <v>8.0</v>
      </c>
      <c r="G112" s="12">
        <f>F112/E112</f>
      </c>
      <c r="H112" t="n" s="4">
        <v>127.0</v>
      </c>
      <c r="I112" s="12">
        <f>H112/E112</f>
      </c>
      <c r="J112" t="n" s="4">
        <v>187.0</v>
      </c>
      <c r="K112" s="12">
        <f>J112/E112</f>
      </c>
      <c r="L112" s="12">
        <f>C112/B112</f>
      </c>
    </row>
    <row r="113">
      <c r="A113" t="s" s="8">
        <v>119</v>
      </c>
      <c r="B113" t="n" s="8">
        <v>109.0</v>
      </c>
      <c r="C113" t="n" s="8">
        <v>63.0</v>
      </c>
      <c r="D113" t="n" s="8">
        <v>0.0</v>
      </c>
      <c r="E113" t="n" s="8">
        <v>63.0</v>
      </c>
      <c r="F113" t="n" s="8">
        <v>1.0</v>
      </c>
      <c r="G113" s="13">
        <f>F113/E113</f>
      </c>
      <c r="H113" t="n" s="8">
        <v>30.0</v>
      </c>
      <c r="I113" s="13">
        <f>H113/E113</f>
      </c>
      <c r="J113" t="n" s="8">
        <v>32.0</v>
      </c>
      <c r="K113" s="13">
        <f>J113/E113</f>
      </c>
      <c r="L113" s="13">
        <f>C113/B113</f>
      </c>
    </row>
    <row r="114">
      <c r="A114" t="s" s="4">
        <v>120</v>
      </c>
      <c r="B114" t="n" s="4">
        <v>660.0</v>
      </c>
      <c r="C114" t="n" s="4">
        <v>364.0</v>
      </c>
      <c r="D114" t="n" s="4">
        <v>0.0</v>
      </c>
      <c r="E114" t="n" s="4">
        <v>364.0</v>
      </c>
      <c r="F114" t="n" s="4">
        <v>18.0</v>
      </c>
      <c r="G114" s="12">
        <f>F114/E114</f>
      </c>
      <c r="H114" t="n" s="4">
        <v>162.0</v>
      </c>
      <c r="I114" s="12">
        <f>H114/E114</f>
      </c>
      <c r="J114" t="n" s="4">
        <v>184.0</v>
      </c>
      <c r="K114" s="12">
        <f>J114/E114</f>
      </c>
      <c r="L114" s="12">
        <f>C114/B114</f>
      </c>
    </row>
    <row r="115">
      <c r="A115" t="s" s="8">
        <v>121</v>
      </c>
      <c r="B115" t="n" s="8">
        <v>299.0</v>
      </c>
      <c r="C115" t="n" s="8">
        <v>145.0</v>
      </c>
      <c r="D115" t="n" s="8">
        <v>0.0</v>
      </c>
      <c r="E115" t="n" s="8">
        <v>145.0</v>
      </c>
      <c r="F115" t="n" s="8">
        <v>3.0</v>
      </c>
      <c r="G115" s="13">
        <f>F115/E115</f>
      </c>
      <c r="H115" t="n" s="8">
        <v>75.0</v>
      </c>
      <c r="I115" s="13">
        <f>H115/E115</f>
      </c>
      <c r="J115" t="n" s="8">
        <v>67.0</v>
      </c>
      <c r="K115" s="13">
        <f>J115/E115</f>
      </c>
      <c r="L115" s="13">
        <f>C115/B115</f>
      </c>
    </row>
    <row r="116">
      <c r="A116" t="s" s="4">
        <v>122</v>
      </c>
      <c r="B116" t="n" s="4">
        <v>318.0</v>
      </c>
      <c r="C116" t="n" s="4">
        <v>206.0</v>
      </c>
      <c r="D116" t="n" s="4">
        <v>0.0</v>
      </c>
      <c r="E116" t="n" s="4">
        <v>206.0</v>
      </c>
      <c r="F116" t="n" s="4">
        <v>12.0</v>
      </c>
      <c r="G116" s="12">
        <f>F116/E116</f>
      </c>
      <c r="H116" t="n" s="4">
        <v>91.0</v>
      </c>
      <c r="I116" s="12">
        <f>H116/E116</f>
      </c>
      <c r="J116" t="n" s="4">
        <v>103.0</v>
      </c>
      <c r="K116" s="12">
        <f>J116/E116</f>
      </c>
      <c r="L116" s="12">
        <f>C116/B116</f>
      </c>
    </row>
    <row r="117">
      <c r="A117" t="s" s="8">
        <v>123</v>
      </c>
      <c r="B117" t="n" s="8">
        <v>293.0</v>
      </c>
      <c r="C117" t="n" s="8">
        <v>173.0</v>
      </c>
      <c r="D117" t="n" s="8">
        <v>0.0</v>
      </c>
      <c r="E117" t="n" s="8">
        <v>173.0</v>
      </c>
      <c r="F117" t="n" s="8">
        <v>3.0</v>
      </c>
      <c r="G117" s="13">
        <f>F117/E117</f>
      </c>
      <c r="H117" t="n" s="8">
        <v>97.0</v>
      </c>
      <c r="I117" s="13">
        <f>H117/E117</f>
      </c>
      <c r="J117" t="n" s="8">
        <v>73.0</v>
      </c>
      <c r="K117" s="13">
        <f>J117/E117</f>
      </c>
      <c r="L117" s="13">
        <f>C117/B117</f>
      </c>
    </row>
    <row r="118">
      <c r="A118" t="s" s="4">
        <v>124</v>
      </c>
      <c r="B118" t="n" s="4">
        <v>169.0</v>
      </c>
      <c r="C118" t="n" s="4">
        <v>114.0</v>
      </c>
      <c r="D118" t="n" s="4">
        <v>0.0</v>
      </c>
      <c r="E118" t="n" s="4">
        <v>114.0</v>
      </c>
      <c r="F118" t="n" s="4">
        <v>2.0</v>
      </c>
      <c r="G118" s="12">
        <f>F118/E118</f>
      </c>
      <c r="H118" t="n" s="4">
        <v>40.0</v>
      </c>
      <c r="I118" s="12">
        <f>H118/E118</f>
      </c>
      <c r="J118" t="n" s="4">
        <v>72.0</v>
      </c>
      <c r="K118" s="12">
        <f>J118/E118</f>
      </c>
      <c r="L118" s="12">
        <f>C118/B118</f>
      </c>
    </row>
    <row r="119">
      <c r="A119" t="s" s="8">
        <v>125</v>
      </c>
      <c r="B119" t="n" s="8">
        <v>594.0</v>
      </c>
      <c r="C119" t="n" s="8">
        <v>349.0</v>
      </c>
      <c r="D119" t="n" s="8">
        <v>0.0</v>
      </c>
      <c r="E119" t="n" s="8">
        <v>349.0</v>
      </c>
      <c r="F119" t="n" s="8">
        <v>21.0</v>
      </c>
      <c r="G119" s="13">
        <f>F119/E119</f>
      </c>
      <c r="H119" t="n" s="8">
        <v>141.0</v>
      </c>
      <c r="I119" s="13">
        <f>H119/E119</f>
      </c>
      <c r="J119" t="n" s="8">
        <v>187.0</v>
      </c>
      <c r="K119" s="13">
        <f>J119/E119</f>
      </c>
      <c r="L119" s="13">
        <f>C119/B119</f>
      </c>
    </row>
    <row r="120">
      <c r="A120" t="s" s="4">
        <v>126</v>
      </c>
      <c r="B120" t="n" s="4">
        <v>123.0</v>
      </c>
      <c r="C120" t="n" s="4">
        <v>84.0</v>
      </c>
      <c r="D120" t="n" s="4">
        <v>0.0</v>
      </c>
      <c r="E120" t="n" s="4">
        <v>84.0</v>
      </c>
      <c r="F120" t="n" s="4">
        <v>2.0</v>
      </c>
      <c r="G120" s="12">
        <f>F120/E120</f>
      </c>
      <c r="H120" t="n" s="4">
        <v>32.0</v>
      </c>
      <c r="I120" s="12">
        <f>H120/E120</f>
      </c>
      <c r="J120" t="n" s="4">
        <v>50.0</v>
      </c>
      <c r="K120" s="12">
        <f>J120/E120</f>
      </c>
      <c r="L120" s="12">
        <f>C120/B120</f>
      </c>
    </row>
    <row r="121">
      <c r="A121" t="s" s="8">
        <v>127</v>
      </c>
      <c r="B121" t="n" s="8">
        <v>243.0</v>
      </c>
      <c r="C121" t="n" s="8">
        <v>139.0</v>
      </c>
      <c r="D121" t="n" s="8">
        <v>0.0</v>
      </c>
      <c r="E121" t="n" s="8">
        <v>139.0</v>
      </c>
      <c r="F121" t="n" s="8">
        <v>1.0</v>
      </c>
      <c r="G121" s="13">
        <f>F121/E121</f>
      </c>
      <c r="H121" t="n" s="8">
        <v>54.0</v>
      </c>
      <c r="I121" s="13">
        <f>H121/E121</f>
      </c>
      <c r="J121" t="n" s="8">
        <v>84.0</v>
      </c>
      <c r="K121" s="13">
        <f>J121/E121</f>
      </c>
      <c r="L121" s="13">
        <f>C121/B121</f>
      </c>
    </row>
    <row r="122">
      <c r="A122" t="s" s="4">
        <v>128</v>
      </c>
      <c r="B122" t="n" s="4">
        <v>308.0</v>
      </c>
      <c r="C122" t="n" s="4">
        <v>164.0</v>
      </c>
      <c r="D122" t="n" s="4">
        <v>0.0</v>
      </c>
      <c r="E122" t="n" s="4">
        <v>164.0</v>
      </c>
      <c r="F122" t="n" s="4">
        <v>3.0</v>
      </c>
      <c r="G122" s="12">
        <f>F122/E122</f>
      </c>
      <c r="H122" t="n" s="4">
        <v>88.0</v>
      </c>
      <c r="I122" s="12">
        <f>H122/E122</f>
      </c>
      <c r="J122" t="n" s="4">
        <v>73.0</v>
      </c>
      <c r="K122" s="12">
        <f>J122/E122</f>
      </c>
      <c r="L122" s="12">
        <f>C122/B122</f>
      </c>
    </row>
    <row r="123">
      <c r="A123" t="s" s="8">
        <v>129</v>
      </c>
      <c r="B123" t="n" s="8">
        <v>155.0</v>
      </c>
      <c r="C123" t="n" s="8">
        <v>76.0</v>
      </c>
      <c r="D123" t="n" s="8">
        <v>1.0</v>
      </c>
      <c r="E123" t="n" s="8">
        <v>75.0</v>
      </c>
      <c r="F123" t="n" s="8">
        <v>0.0</v>
      </c>
      <c r="G123" s="13">
        <f>F123/E123</f>
      </c>
      <c r="H123" t="n" s="8">
        <v>29.0</v>
      </c>
      <c r="I123" s="13">
        <f>H123/E123</f>
      </c>
      <c r="J123" t="n" s="8">
        <v>46.0</v>
      </c>
      <c r="K123" s="13">
        <f>J123/E123</f>
      </c>
      <c r="L123" s="13">
        <f>C123/B123</f>
      </c>
    </row>
    <row r="124">
      <c r="A124" t="s" s="4">
        <v>130</v>
      </c>
      <c r="B124" t="n" s="4">
        <v>313.0</v>
      </c>
      <c r="C124" t="n" s="4">
        <v>181.0</v>
      </c>
      <c r="D124" t="n" s="4">
        <v>0.0</v>
      </c>
      <c r="E124" t="n" s="4">
        <v>181.0</v>
      </c>
      <c r="F124" t="n" s="4">
        <v>5.0</v>
      </c>
      <c r="G124" s="12">
        <f>F124/E124</f>
      </c>
      <c r="H124" t="n" s="4">
        <v>74.0</v>
      </c>
      <c r="I124" s="12">
        <f>H124/E124</f>
      </c>
      <c r="J124" t="n" s="4">
        <v>102.0</v>
      </c>
      <c r="K124" s="12">
        <f>J124/E124</f>
      </c>
      <c r="L124" s="12">
        <f>C124/B124</f>
      </c>
    </row>
    <row r="125">
      <c r="A125" t="s" s="8">
        <v>131</v>
      </c>
      <c r="B125" t="n" s="8">
        <v>157.0</v>
      </c>
      <c r="C125" t="n" s="8">
        <v>103.0</v>
      </c>
      <c r="D125" t="n" s="8">
        <v>0.0</v>
      </c>
      <c r="E125" t="n" s="8">
        <v>103.0</v>
      </c>
      <c r="F125" t="n" s="8">
        <v>5.0</v>
      </c>
      <c r="G125" s="13">
        <f>F125/E125</f>
      </c>
      <c r="H125" t="n" s="8">
        <v>52.0</v>
      </c>
      <c r="I125" s="13">
        <f>H125/E125</f>
      </c>
      <c r="J125" t="n" s="8">
        <v>46.0</v>
      </c>
      <c r="K125" s="13">
        <f>J125/E125</f>
      </c>
      <c r="L125" s="13">
        <f>C125/B125</f>
      </c>
    </row>
    <row r="126">
      <c r="A126" t="s" s="4">
        <v>132</v>
      </c>
      <c r="B126" t="n" s="4">
        <v>2194.0</v>
      </c>
      <c r="C126" t="n" s="4">
        <v>1141.0</v>
      </c>
      <c r="D126" t="n" s="4">
        <v>1.0</v>
      </c>
      <c r="E126" t="n" s="4">
        <v>1140.0</v>
      </c>
      <c r="F126" t="n" s="4">
        <v>63.0</v>
      </c>
      <c r="G126" s="12">
        <f>F126/E126</f>
      </c>
      <c r="H126" t="n" s="4">
        <v>559.0</v>
      </c>
      <c r="I126" s="12">
        <f>H126/E126</f>
      </c>
      <c r="J126" t="n" s="4">
        <v>518.0</v>
      </c>
      <c r="K126" s="12">
        <f>J126/E126</f>
      </c>
      <c r="L126" s="12">
        <f>C126/B126</f>
      </c>
    </row>
    <row r="127">
      <c r="A127" t="s" s="8">
        <v>133</v>
      </c>
      <c r="B127" t="n" s="8">
        <v>255.0</v>
      </c>
      <c r="C127" t="n" s="8">
        <v>152.0</v>
      </c>
      <c r="D127" t="n" s="8">
        <v>0.0</v>
      </c>
      <c r="E127" t="n" s="8">
        <v>152.0</v>
      </c>
      <c r="F127" t="n" s="8">
        <v>10.0</v>
      </c>
      <c r="G127" s="13">
        <f>F127/E127</f>
      </c>
      <c r="H127" t="n" s="8">
        <v>62.0</v>
      </c>
      <c r="I127" s="13">
        <f>H127/E127</f>
      </c>
      <c r="J127" t="n" s="8">
        <v>80.0</v>
      </c>
      <c r="K127" s="13">
        <f>J127/E127</f>
      </c>
      <c r="L127" s="13">
        <f>C127/B127</f>
      </c>
    </row>
    <row r="128">
      <c r="A128" t="s" s="4">
        <v>134</v>
      </c>
      <c r="B128" t="n" s="4">
        <v>1082.0</v>
      </c>
      <c r="C128" t="n" s="4">
        <v>622.0</v>
      </c>
      <c r="D128" t="n" s="4">
        <v>13.0</v>
      </c>
      <c r="E128" t="n" s="4">
        <v>609.0</v>
      </c>
      <c r="F128" t="n" s="4">
        <v>23.0</v>
      </c>
      <c r="G128" s="12">
        <f>F128/E128</f>
      </c>
      <c r="H128" t="n" s="4">
        <v>265.0</v>
      </c>
      <c r="I128" s="12">
        <f>H128/E128</f>
      </c>
      <c r="J128" t="n" s="4">
        <v>321.0</v>
      </c>
      <c r="K128" s="12">
        <f>J128/E128</f>
      </c>
      <c r="L128" s="12">
        <f>C128/B128</f>
      </c>
    </row>
    <row r="129">
      <c r="A129" t="s" s="8">
        <v>135</v>
      </c>
      <c r="B129" t="n" s="8">
        <v>197.0</v>
      </c>
      <c r="C129" t="n" s="8">
        <v>151.0</v>
      </c>
      <c r="D129" t="n" s="8">
        <v>0.0</v>
      </c>
      <c r="E129" t="n" s="8">
        <v>151.0</v>
      </c>
      <c r="F129" t="n" s="8">
        <v>3.0</v>
      </c>
      <c r="G129" s="13">
        <f>F129/E129</f>
      </c>
      <c r="H129" t="n" s="8">
        <v>75.0</v>
      </c>
      <c r="I129" s="13">
        <f>H129/E129</f>
      </c>
      <c r="J129" t="n" s="8">
        <v>73.0</v>
      </c>
      <c r="K129" s="13">
        <f>J129/E129</f>
      </c>
      <c r="L129" s="13">
        <f>C129/B129</f>
      </c>
    </row>
    <row r="130">
      <c r="A130" t="s" s="4">
        <v>136</v>
      </c>
      <c r="B130" t="n" s="4">
        <v>143.0</v>
      </c>
      <c r="C130" t="n" s="4">
        <v>94.0</v>
      </c>
      <c r="D130" t="n" s="4">
        <v>0.0</v>
      </c>
      <c r="E130" t="n" s="4">
        <v>94.0</v>
      </c>
      <c r="F130" t="n" s="4">
        <v>3.0</v>
      </c>
      <c r="G130" s="12">
        <f>F130/E130</f>
      </c>
      <c r="H130" t="n" s="4">
        <v>49.0</v>
      </c>
      <c r="I130" s="12">
        <f>H130/E130</f>
      </c>
      <c r="J130" t="n" s="4">
        <v>42.0</v>
      </c>
      <c r="K130" s="12">
        <f>J130/E130</f>
      </c>
      <c r="L130" s="12">
        <f>C130/B130</f>
      </c>
    </row>
    <row r="131">
      <c r="A131" t="s" s="8">
        <v>137</v>
      </c>
      <c r="B131" t="n" s="8">
        <v>2805.0</v>
      </c>
      <c r="C131" t="n" s="8">
        <v>1526.0</v>
      </c>
      <c r="D131" t="n" s="8">
        <v>0.0</v>
      </c>
      <c r="E131" t="n" s="8">
        <v>1526.0</v>
      </c>
      <c r="F131" t="n" s="8">
        <v>105.0</v>
      </c>
      <c r="G131" s="13">
        <f>F131/E131</f>
      </c>
      <c r="H131" t="n" s="8">
        <v>756.0</v>
      </c>
      <c r="I131" s="13">
        <f>H131/E131</f>
      </c>
      <c r="J131" t="n" s="8">
        <v>665.0</v>
      </c>
      <c r="K131" s="13">
        <f>J131/E131</f>
      </c>
      <c r="L131" s="13">
        <f>C131/B131</f>
      </c>
    </row>
    <row r="132">
      <c r="A132" t="s" s="4">
        <v>138</v>
      </c>
      <c r="B132" t="n" s="4">
        <v>627.0</v>
      </c>
      <c r="C132" t="n" s="4">
        <v>371.0</v>
      </c>
      <c r="D132" t="n" s="4">
        <v>1.0</v>
      </c>
      <c r="E132" t="n" s="4">
        <v>370.0</v>
      </c>
      <c r="F132" t="n" s="4">
        <v>15.0</v>
      </c>
      <c r="G132" s="12">
        <f>F132/E132</f>
      </c>
      <c r="H132" t="n" s="4">
        <v>190.0</v>
      </c>
      <c r="I132" s="12">
        <f>H132/E132</f>
      </c>
      <c r="J132" t="n" s="4">
        <v>165.0</v>
      </c>
      <c r="K132" s="12">
        <f>J132/E132</f>
      </c>
      <c r="L132" s="12">
        <f>C132/B132</f>
      </c>
    </row>
    <row r="133">
      <c r="A133" t="s" s="8">
        <v>139</v>
      </c>
      <c r="B133" t="n" s="8">
        <v>141.0</v>
      </c>
      <c r="C133" t="n" s="8">
        <v>72.0</v>
      </c>
      <c r="D133" t="n" s="8">
        <v>0.0</v>
      </c>
      <c r="E133" t="n" s="8">
        <v>72.0</v>
      </c>
      <c r="F133" t="n" s="8">
        <v>8.0</v>
      </c>
      <c r="G133" s="13">
        <f>F133/E133</f>
      </c>
      <c r="H133" t="n" s="8">
        <v>33.0</v>
      </c>
      <c r="I133" s="13">
        <f>H133/E133</f>
      </c>
      <c r="J133" t="n" s="8">
        <v>31.0</v>
      </c>
      <c r="K133" s="13">
        <f>J133/E133</f>
      </c>
      <c r="L133" s="13">
        <f>C133/B133</f>
      </c>
    </row>
    <row r="134">
      <c r="A134" t="s" s="4">
        <v>140</v>
      </c>
      <c r="B134" t="n" s="4">
        <v>274.0</v>
      </c>
      <c r="C134" t="n" s="4">
        <v>168.0</v>
      </c>
      <c r="D134" t="n" s="4">
        <v>4.0</v>
      </c>
      <c r="E134" t="n" s="4">
        <v>164.0</v>
      </c>
      <c r="F134" t="n" s="4">
        <v>7.0</v>
      </c>
      <c r="G134" s="12">
        <f>F134/E134</f>
      </c>
      <c r="H134" t="n" s="4">
        <v>59.0</v>
      </c>
      <c r="I134" s="12">
        <f>H134/E134</f>
      </c>
      <c r="J134" t="n" s="4">
        <v>98.0</v>
      </c>
      <c r="K134" s="12">
        <f>J134/E134</f>
      </c>
      <c r="L134" s="12">
        <f>C134/B134</f>
      </c>
    </row>
    <row r="135">
      <c r="A135" t="s" s="8">
        <v>141</v>
      </c>
      <c r="B135" t="n" s="8">
        <v>482.0</v>
      </c>
      <c r="C135" t="n" s="8">
        <v>259.0</v>
      </c>
      <c r="D135" t="n" s="8">
        <v>0.0</v>
      </c>
      <c r="E135" t="n" s="8">
        <v>259.0</v>
      </c>
      <c r="F135" t="n" s="8">
        <v>5.0</v>
      </c>
      <c r="G135" s="13">
        <f>F135/E135</f>
      </c>
      <c r="H135" t="n" s="8">
        <v>121.0</v>
      </c>
      <c r="I135" s="13">
        <f>H135/E135</f>
      </c>
      <c r="J135" t="n" s="8">
        <v>133.0</v>
      </c>
      <c r="K135" s="13">
        <f>J135/E135</f>
      </c>
      <c r="L135" s="13">
        <f>C135/B135</f>
      </c>
    </row>
    <row r="136">
      <c r="A136" t="s" s="4">
        <v>142</v>
      </c>
      <c r="B136" t="n" s="4">
        <v>96.0</v>
      </c>
      <c r="C136" t="n" s="4">
        <v>70.0</v>
      </c>
      <c r="D136" t="n" s="4">
        <v>0.0</v>
      </c>
      <c r="E136" t="n" s="4">
        <v>70.0</v>
      </c>
      <c r="F136" t="n" s="4">
        <v>7.0</v>
      </c>
      <c r="G136" s="12">
        <f>F136/E136</f>
      </c>
      <c r="H136" t="n" s="4">
        <v>23.0</v>
      </c>
      <c r="I136" s="12">
        <f>H136/E136</f>
      </c>
      <c r="J136" t="n" s="4">
        <v>40.0</v>
      </c>
      <c r="K136" s="12">
        <f>J136/E136</f>
      </c>
      <c r="L136" s="12">
        <f>C136/B136</f>
      </c>
    </row>
    <row r="137">
      <c r="A137" t="s" s="8">
        <v>143</v>
      </c>
      <c r="B137" t="n" s="8">
        <v>194.0</v>
      </c>
      <c r="C137" t="n" s="8">
        <v>94.0</v>
      </c>
      <c r="D137" t="n" s="8">
        <v>0.0</v>
      </c>
      <c r="E137" t="n" s="8">
        <v>94.0</v>
      </c>
      <c r="F137" t="n" s="8">
        <v>0.0</v>
      </c>
      <c r="G137" s="13">
        <f>F137/E137</f>
      </c>
      <c r="H137" t="n" s="8">
        <v>37.0</v>
      </c>
      <c r="I137" s="13">
        <f>H137/E137</f>
      </c>
      <c r="J137" t="n" s="8">
        <v>57.0</v>
      </c>
      <c r="K137" s="13">
        <f>J137/E137</f>
      </c>
      <c r="L137" s="13">
        <f>C137/B137</f>
      </c>
    </row>
    <row r="138">
      <c r="A138" t="s" s="4">
        <v>144</v>
      </c>
      <c r="B138" t="n" s="4">
        <v>513.0</v>
      </c>
      <c r="C138" t="n" s="4">
        <v>242.0</v>
      </c>
      <c r="D138" t="n" s="4">
        <v>0.0</v>
      </c>
      <c r="E138" t="n" s="4">
        <v>242.0</v>
      </c>
      <c r="F138" t="n" s="4">
        <v>14.0</v>
      </c>
      <c r="G138" s="12">
        <f>F138/E138</f>
      </c>
      <c r="H138" t="n" s="4">
        <v>98.0</v>
      </c>
      <c r="I138" s="12">
        <f>H138/E138</f>
      </c>
      <c r="J138" t="n" s="4">
        <v>130.0</v>
      </c>
      <c r="K138" s="12">
        <f>J138/E138</f>
      </c>
      <c r="L138" s="12">
        <f>C138/B138</f>
      </c>
    </row>
    <row r="139">
      <c r="A139" t="s" s="8">
        <v>145</v>
      </c>
      <c r="B139" t="n" s="8">
        <v>327.0</v>
      </c>
      <c r="C139" t="n" s="8">
        <v>181.0</v>
      </c>
      <c r="D139" t="n" s="8">
        <v>0.0</v>
      </c>
      <c r="E139" t="n" s="8">
        <v>181.0</v>
      </c>
      <c r="F139" t="n" s="8">
        <v>7.0</v>
      </c>
      <c r="G139" s="13">
        <f>F139/E139</f>
      </c>
      <c r="H139" t="n" s="8">
        <v>87.0</v>
      </c>
      <c r="I139" s="13">
        <f>H139/E139</f>
      </c>
      <c r="J139" t="n" s="8">
        <v>87.0</v>
      </c>
      <c r="K139" s="13">
        <f>J139/E139</f>
      </c>
      <c r="L139" s="13">
        <f>C139/B139</f>
      </c>
    </row>
    <row r="140">
      <c r="A140" t="s" s="4">
        <v>146</v>
      </c>
      <c r="B140" t="n" s="4">
        <v>94.0</v>
      </c>
      <c r="C140" t="n" s="4">
        <v>45.0</v>
      </c>
      <c r="D140" t="n" s="4">
        <v>0.0</v>
      </c>
      <c r="E140" t="n" s="4">
        <v>45.0</v>
      </c>
      <c r="F140" t="n" s="4">
        <v>1.0</v>
      </c>
      <c r="G140" s="12">
        <f>F140/E140</f>
      </c>
      <c r="H140" t="n" s="4">
        <v>16.0</v>
      </c>
      <c r="I140" s="12">
        <f>H140/E140</f>
      </c>
      <c r="J140" t="n" s="4">
        <v>28.0</v>
      </c>
      <c r="K140" s="12">
        <f>J140/E140</f>
      </c>
      <c r="L140" s="12">
        <f>C140/B140</f>
      </c>
    </row>
    <row r="141">
      <c r="A141" t="s" s="8">
        <v>147</v>
      </c>
      <c r="B141" t="n" s="8">
        <v>76.0</v>
      </c>
      <c r="C141" t="n" s="8">
        <v>53.0</v>
      </c>
      <c r="D141" t="n" s="8">
        <v>0.0</v>
      </c>
      <c r="E141" t="n" s="8">
        <v>53.0</v>
      </c>
      <c r="F141" t="n" s="8">
        <v>2.0</v>
      </c>
      <c r="G141" s="13">
        <f>F141/E141</f>
      </c>
      <c r="H141" t="n" s="8">
        <v>25.0</v>
      </c>
      <c r="I141" s="13">
        <f>H141/E141</f>
      </c>
      <c r="J141" t="n" s="8">
        <v>26.0</v>
      </c>
      <c r="K141" s="13">
        <f>J141/E141</f>
      </c>
      <c r="L141" s="13">
        <f>C141/B141</f>
      </c>
    </row>
    <row r="142">
      <c r="A142" t="s" s="4">
        <v>148</v>
      </c>
      <c r="B142" t="n" s="4">
        <v>369.0</v>
      </c>
      <c r="C142" t="n" s="4">
        <v>216.0</v>
      </c>
      <c r="D142" t="n" s="4">
        <v>1.0</v>
      </c>
      <c r="E142" t="n" s="4">
        <v>215.0</v>
      </c>
      <c r="F142" t="n" s="4">
        <v>10.0</v>
      </c>
      <c r="G142" s="12">
        <f>F142/E142</f>
      </c>
      <c r="H142" t="n" s="4">
        <v>103.0</v>
      </c>
      <c r="I142" s="12">
        <f>H142/E142</f>
      </c>
      <c r="J142" t="n" s="4">
        <v>102.0</v>
      </c>
      <c r="K142" s="12">
        <f>J142/E142</f>
      </c>
      <c r="L142" s="12">
        <f>C142/B142</f>
      </c>
    </row>
    <row r="143">
      <c r="A143" t="s" s="8">
        <v>149</v>
      </c>
      <c r="B143" t="n" s="8">
        <v>4110.0</v>
      </c>
      <c r="C143" t="n" s="8">
        <v>2022.0</v>
      </c>
      <c r="D143" t="n" s="8">
        <v>3.0</v>
      </c>
      <c r="E143" t="n" s="8">
        <v>2019.0</v>
      </c>
      <c r="F143" t="n" s="8">
        <v>128.0</v>
      </c>
      <c r="G143" s="13">
        <f>F143/E143</f>
      </c>
      <c r="H143" t="n" s="8">
        <v>1037.0</v>
      </c>
      <c r="I143" s="13">
        <f>H143/E143</f>
      </c>
      <c r="J143" t="n" s="8">
        <v>854.0</v>
      </c>
      <c r="K143" s="13">
        <f>J143/E143</f>
      </c>
      <c r="L143" s="13">
        <f>C143/B143</f>
      </c>
    </row>
    <row r="144">
      <c r="A144" t="s" s="4">
        <v>150</v>
      </c>
      <c r="B144" t="n" s="4">
        <v>280.0</v>
      </c>
      <c r="C144" t="n" s="4">
        <v>146.0</v>
      </c>
      <c r="D144" t="n" s="4">
        <v>0.0</v>
      </c>
      <c r="E144" t="n" s="4">
        <v>146.0</v>
      </c>
      <c r="F144" t="n" s="4">
        <v>2.0</v>
      </c>
      <c r="G144" s="12">
        <f>F144/E144</f>
      </c>
      <c r="H144" t="n" s="4">
        <v>68.0</v>
      </c>
      <c r="I144" s="12">
        <f>H144/E144</f>
      </c>
      <c r="J144" t="n" s="4">
        <v>76.0</v>
      </c>
      <c r="K144" s="12">
        <f>J144/E144</f>
      </c>
      <c r="L144" s="12">
        <f>C144/B144</f>
      </c>
    </row>
    <row r="145">
      <c r="A145" t="s" s="8">
        <v>151</v>
      </c>
      <c r="B145" t="n" s="8">
        <v>155.0</v>
      </c>
      <c r="C145" t="n" s="8">
        <v>110.0</v>
      </c>
      <c r="D145" t="n" s="8">
        <v>0.0</v>
      </c>
      <c r="E145" t="n" s="8">
        <v>110.0</v>
      </c>
      <c r="F145" t="n" s="8">
        <v>2.0</v>
      </c>
      <c r="G145" s="13">
        <f>F145/E145</f>
      </c>
      <c r="H145" t="n" s="8">
        <v>51.0</v>
      </c>
      <c r="I145" s="13">
        <f>H145/E145</f>
      </c>
      <c r="J145" t="n" s="8">
        <v>57.0</v>
      </c>
      <c r="K145" s="13">
        <f>J145/E145</f>
      </c>
      <c r="L145" s="13">
        <f>C145/B145</f>
      </c>
    </row>
    <row r="146">
      <c r="A146" t="s" s="4">
        <v>152</v>
      </c>
      <c r="B146" t="n" s="4">
        <v>615.0</v>
      </c>
      <c r="C146" t="n" s="4">
        <v>365.0</v>
      </c>
      <c r="D146" t="n" s="4">
        <v>0.0</v>
      </c>
      <c r="E146" t="n" s="4">
        <v>365.0</v>
      </c>
      <c r="F146" t="n" s="4">
        <v>26.0</v>
      </c>
      <c r="G146" s="12">
        <f>F146/E146</f>
      </c>
      <c r="H146" t="n" s="4">
        <v>134.0</v>
      </c>
      <c r="I146" s="12">
        <f>H146/E146</f>
      </c>
      <c r="J146" t="n" s="4">
        <v>205.0</v>
      </c>
      <c r="K146" s="12">
        <f>J146/E146</f>
      </c>
      <c r="L146" s="12">
        <f>C146/B146</f>
      </c>
    </row>
    <row r="147">
      <c r="A147" t="s" s="8">
        <v>153</v>
      </c>
      <c r="B147" t="n" s="8">
        <v>176.0</v>
      </c>
      <c r="C147" t="n" s="8">
        <v>108.0</v>
      </c>
      <c r="D147" t="n" s="8">
        <v>0.0</v>
      </c>
      <c r="E147" t="n" s="8">
        <v>108.0</v>
      </c>
      <c r="F147" t="n" s="8">
        <v>1.0</v>
      </c>
      <c r="G147" s="13">
        <f>F147/E147</f>
      </c>
      <c r="H147" t="n" s="8">
        <v>54.0</v>
      </c>
      <c r="I147" s="13">
        <f>H147/E147</f>
      </c>
      <c r="J147" t="n" s="8">
        <v>53.0</v>
      </c>
      <c r="K147" s="13">
        <f>J147/E147</f>
      </c>
      <c r="L147" s="13">
        <f>C147/B147</f>
      </c>
    </row>
    <row r="148">
      <c r="A148" t="s" s="4">
        <v>154</v>
      </c>
      <c r="B148" t="n" s="4">
        <v>309.0</v>
      </c>
      <c r="C148" t="n" s="4">
        <v>159.0</v>
      </c>
      <c r="D148" t="n" s="4">
        <v>1.0</v>
      </c>
      <c r="E148" t="n" s="4">
        <v>158.0</v>
      </c>
      <c r="F148" t="n" s="4">
        <v>1.0</v>
      </c>
      <c r="G148" s="12">
        <f>F148/E148</f>
      </c>
      <c r="H148" t="n" s="4">
        <v>74.0</v>
      </c>
      <c r="I148" s="12">
        <f>H148/E148</f>
      </c>
      <c r="J148" t="n" s="4">
        <v>83.0</v>
      </c>
      <c r="K148" s="12">
        <f>J148/E148</f>
      </c>
      <c r="L148" s="12">
        <f>C148/B148</f>
      </c>
    </row>
    <row r="149">
      <c r="A149" t="s" s="8">
        <v>155</v>
      </c>
      <c r="B149" t="n" s="8">
        <v>399.0</v>
      </c>
      <c r="C149" t="n" s="8">
        <v>232.0</v>
      </c>
      <c r="D149" t="n" s="8">
        <v>0.0</v>
      </c>
      <c r="E149" t="n" s="8">
        <v>232.0</v>
      </c>
      <c r="F149" t="n" s="8">
        <v>4.0</v>
      </c>
      <c r="G149" s="13">
        <f>F149/E149</f>
      </c>
      <c r="H149" t="n" s="8">
        <v>100.0</v>
      </c>
      <c r="I149" s="13">
        <f>H149/E149</f>
      </c>
      <c r="J149" t="n" s="8">
        <v>128.0</v>
      </c>
      <c r="K149" s="13">
        <f>J149/E149</f>
      </c>
      <c r="L149" s="13">
        <f>C149/B149</f>
      </c>
    </row>
    <row r="150">
      <c r="A150" t="s" s="4">
        <v>156</v>
      </c>
      <c r="B150" t="n" s="4">
        <v>386.0</v>
      </c>
      <c r="C150" t="n" s="4">
        <v>216.0</v>
      </c>
      <c r="D150" t="n" s="4">
        <v>1.0</v>
      </c>
      <c r="E150" t="n" s="4">
        <v>215.0</v>
      </c>
      <c r="F150" t="n" s="4">
        <v>8.0</v>
      </c>
      <c r="G150" s="12">
        <f>F150/E150</f>
      </c>
      <c r="H150" t="n" s="4">
        <v>126.0</v>
      </c>
      <c r="I150" s="12">
        <f>H150/E150</f>
      </c>
      <c r="J150" t="n" s="4">
        <v>81.0</v>
      </c>
      <c r="K150" s="12">
        <f>J150/E150</f>
      </c>
      <c r="L150" s="12">
        <f>C150/B150</f>
      </c>
    </row>
    <row r="151">
      <c r="A151" t="s" s="8">
        <v>157</v>
      </c>
      <c r="B151" t="n" s="8">
        <v>128.0</v>
      </c>
      <c r="C151" t="n" s="8">
        <v>99.0</v>
      </c>
      <c r="D151" t="n" s="8">
        <v>0.0</v>
      </c>
      <c r="E151" t="n" s="8">
        <v>99.0</v>
      </c>
      <c r="F151" t="n" s="8">
        <v>2.0</v>
      </c>
      <c r="G151" s="13">
        <f>F151/E151</f>
      </c>
      <c r="H151" t="n" s="8">
        <v>32.0</v>
      </c>
      <c r="I151" s="13">
        <f>H151/E151</f>
      </c>
      <c r="J151" t="n" s="8">
        <v>65.0</v>
      </c>
      <c r="K151" s="13">
        <f>J151/E151</f>
      </c>
      <c r="L151" s="13">
        <f>C151/B151</f>
      </c>
    </row>
    <row r="152">
      <c r="A152" t="s" s="4">
        <v>158</v>
      </c>
      <c r="B152" t="n" s="4">
        <v>3806.0</v>
      </c>
      <c r="C152" t="n" s="4">
        <v>1743.0</v>
      </c>
      <c r="D152" t="n" s="4">
        <v>1.0</v>
      </c>
      <c r="E152" t="n" s="4">
        <v>1742.0</v>
      </c>
      <c r="F152" t="n" s="4">
        <v>113.0</v>
      </c>
      <c r="G152" s="12">
        <f>F152/E152</f>
      </c>
      <c r="H152" t="n" s="4">
        <v>825.0</v>
      </c>
      <c r="I152" s="12">
        <f>H152/E152</f>
      </c>
      <c r="J152" t="n" s="4">
        <v>804.0</v>
      </c>
      <c r="K152" s="12">
        <f>J152/E152</f>
      </c>
      <c r="L152" s="12">
        <f>C152/B152</f>
      </c>
    </row>
    <row r="153">
      <c r="A153" t="s" s="8">
        <v>159</v>
      </c>
      <c r="B153" t="n" s="8">
        <v>111.0</v>
      </c>
      <c r="C153" t="n" s="8">
        <v>66.0</v>
      </c>
      <c r="D153" t="n" s="8">
        <v>0.0</v>
      </c>
      <c r="E153" t="n" s="8">
        <v>66.0</v>
      </c>
      <c r="F153" t="n" s="8">
        <v>0.0</v>
      </c>
      <c r="G153" s="13">
        <f>F153/E153</f>
      </c>
      <c r="H153" t="n" s="8">
        <v>36.0</v>
      </c>
      <c r="I153" s="13">
        <f>H153/E153</f>
      </c>
      <c r="J153" t="n" s="8">
        <v>30.0</v>
      </c>
      <c r="K153" s="13">
        <f>J153/E153</f>
      </c>
      <c r="L153" s="13">
        <f>C153/B153</f>
      </c>
    </row>
    <row r="154">
      <c r="A154" t="s" s="4">
        <v>160</v>
      </c>
      <c r="B154" t="n" s="4">
        <v>421.0</v>
      </c>
      <c r="C154" t="n" s="4">
        <v>241.0</v>
      </c>
      <c r="D154" t="n" s="4">
        <v>0.0</v>
      </c>
      <c r="E154" t="n" s="4">
        <v>241.0</v>
      </c>
      <c r="F154" t="n" s="4">
        <v>14.0</v>
      </c>
      <c r="G154" s="12">
        <f>F154/E154</f>
      </c>
      <c r="H154" t="n" s="4">
        <v>90.0</v>
      </c>
      <c r="I154" s="12">
        <f>H154/E154</f>
      </c>
      <c r="J154" t="n" s="4">
        <v>137.0</v>
      </c>
      <c r="K154" s="12">
        <f>J154/E154</f>
      </c>
      <c r="L154" s="12">
        <f>C154/B154</f>
      </c>
    </row>
    <row r="155">
      <c r="A155" t="s" s="8">
        <v>161</v>
      </c>
      <c r="B155" t="n" s="8">
        <v>160.0</v>
      </c>
      <c r="C155" t="n" s="8">
        <v>103.0</v>
      </c>
      <c r="D155" t="n" s="8">
        <v>0.0</v>
      </c>
      <c r="E155" t="n" s="8">
        <v>103.0</v>
      </c>
      <c r="F155" t="n" s="8">
        <v>6.0</v>
      </c>
      <c r="G155" s="13">
        <f>F155/E155</f>
      </c>
      <c r="H155" t="n" s="8">
        <v>40.0</v>
      </c>
      <c r="I155" s="13">
        <f>H155/E155</f>
      </c>
      <c r="J155" t="n" s="8">
        <v>57.0</v>
      </c>
      <c r="K155" s="13">
        <f>J155/E155</f>
      </c>
      <c r="L155" s="13">
        <f>C155/B155</f>
      </c>
    </row>
    <row r="156">
      <c r="A156" t="s" s="4">
        <v>162</v>
      </c>
      <c r="B156" t="n" s="4">
        <v>334.0</v>
      </c>
      <c r="C156" t="n" s="4">
        <v>170.0</v>
      </c>
      <c r="D156" t="n" s="4">
        <v>0.0</v>
      </c>
      <c r="E156" t="n" s="4">
        <v>170.0</v>
      </c>
      <c r="F156" t="n" s="4">
        <v>5.0</v>
      </c>
      <c r="G156" s="12">
        <f>F156/E156</f>
      </c>
      <c r="H156" t="n" s="4">
        <v>74.0</v>
      </c>
      <c r="I156" s="12">
        <f>H156/E156</f>
      </c>
      <c r="J156" t="n" s="4">
        <v>91.0</v>
      </c>
      <c r="K156" s="12">
        <f>J156/E156</f>
      </c>
      <c r="L156" s="12">
        <f>C156/B156</f>
      </c>
    </row>
    <row r="157">
      <c r="A157" t="s" s="8">
        <v>163</v>
      </c>
      <c r="B157" t="n" s="8">
        <v>583.0</v>
      </c>
      <c r="C157" t="n" s="8">
        <v>353.0</v>
      </c>
      <c r="D157" t="n" s="8">
        <v>0.0</v>
      </c>
      <c r="E157" t="n" s="8">
        <v>353.0</v>
      </c>
      <c r="F157" t="n" s="8">
        <v>25.0</v>
      </c>
      <c r="G157" s="13">
        <f>F157/E157</f>
      </c>
      <c r="H157" t="n" s="8">
        <v>165.0</v>
      </c>
      <c r="I157" s="13">
        <f>H157/E157</f>
      </c>
      <c r="J157" t="n" s="8">
        <v>163.0</v>
      </c>
      <c r="K157" s="13">
        <f>J157/E157</f>
      </c>
      <c r="L157" s="13">
        <f>C157/B157</f>
      </c>
    </row>
    <row r="158">
      <c r="A158" t="s" s="4">
        <v>164</v>
      </c>
      <c r="B158" t="n" s="4">
        <v>154.0</v>
      </c>
      <c r="C158" t="n" s="4">
        <v>93.0</v>
      </c>
      <c r="D158" t="n" s="4">
        <v>0.0</v>
      </c>
      <c r="E158" t="n" s="4">
        <v>93.0</v>
      </c>
      <c r="F158" t="n" s="4">
        <v>2.0</v>
      </c>
      <c r="G158" s="12">
        <f>F158/E158</f>
      </c>
      <c r="H158" t="n" s="4">
        <v>24.0</v>
      </c>
      <c r="I158" s="12">
        <f>H158/E158</f>
      </c>
      <c r="J158" t="n" s="4">
        <v>67.0</v>
      </c>
      <c r="K158" s="12">
        <f>J158/E158</f>
      </c>
      <c r="L158" s="12">
        <f>C158/B158</f>
      </c>
    </row>
    <row r="159">
      <c r="A159" t="s" s="8">
        <v>165</v>
      </c>
      <c r="B159" t="n" s="8">
        <v>561.0</v>
      </c>
      <c r="C159" t="n" s="8">
        <v>257.0</v>
      </c>
      <c r="D159" t="n" s="8">
        <v>0.0</v>
      </c>
      <c r="E159" t="n" s="8">
        <v>257.0</v>
      </c>
      <c r="F159" t="n" s="8">
        <v>11.0</v>
      </c>
      <c r="G159" s="13">
        <f>F159/E159</f>
      </c>
      <c r="H159" t="n" s="8">
        <v>121.0</v>
      </c>
      <c r="I159" s="13">
        <f>H159/E159</f>
      </c>
      <c r="J159" t="n" s="8">
        <v>125.0</v>
      </c>
      <c r="K159" s="13">
        <f>J159/E159</f>
      </c>
      <c r="L159" s="13">
        <f>C159/B159</f>
      </c>
    </row>
    <row r="160">
      <c r="A160" t="s" s="4">
        <v>166</v>
      </c>
      <c r="B160" t="n" s="4">
        <v>394.0</v>
      </c>
      <c r="C160" t="n" s="4">
        <v>232.0</v>
      </c>
      <c r="D160" t="n" s="4">
        <v>0.0</v>
      </c>
      <c r="E160" t="n" s="4">
        <v>232.0</v>
      </c>
      <c r="F160" t="n" s="4">
        <v>12.0</v>
      </c>
      <c r="G160" s="12">
        <f>F160/E160</f>
      </c>
      <c r="H160" t="n" s="4">
        <v>95.0</v>
      </c>
      <c r="I160" s="12">
        <f>H160/E160</f>
      </c>
      <c r="J160" t="n" s="4">
        <v>125.0</v>
      </c>
      <c r="K160" s="12">
        <f>J160/E160</f>
      </c>
      <c r="L160" s="12">
        <f>C160/B160</f>
      </c>
    </row>
    <row r="161">
      <c r="A161" t="s" s="8">
        <v>167</v>
      </c>
      <c r="B161" t="n" s="8">
        <v>184.0</v>
      </c>
      <c r="C161" t="n" s="8">
        <v>139.0</v>
      </c>
      <c r="D161" t="n" s="8">
        <v>0.0</v>
      </c>
      <c r="E161" t="n" s="8">
        <v>139.0</v>
      </c>
      <c r="F161" t="n" s="8">
        <v>6.0</v>
      </c>
      <c r="G161" s="13">
        <f>F161/E161</f>
      </c>
      <c r="H161" t="n" s="8">
        <v>74.0</v>
      </c>
      <c r="I161" s="13">
        <f>H161/E161</f>
      </c>
      <c r="J161" t="n" s="8">
        <v>59.0</v>
      </c>
      <c r="K161" s="13">
        <f>J161/E161</f>
      </c>
      <c r="L161" s="13">
        <f>C161/B161</f>
      </c>
    </row>
    <row r="162">
      <c r="A162" t="s" s="4">
        <v>168</v>
      </c>
      <c r="B162" t="n" s="4">
        <v>2259.0</v>
      </c>
      <c r="C162" t="n" s="4">
        <v>1017.0</v>
      </c>
      <c r="D162" t="n" s="4">
        <v>0.0</v>
      </c>
      <c r="E162" t="n" s="4">
        <v>1017.0</v>
      </c>
      <c r="F162" t="n" s="4">
        <v>69.0</v>
      </c>
      <c r="G162" s="12">
        <f>F162/E162</f>
      </c>
      <c r="H162" t="n" s="4">
        <v>453.0</v>
      </c>
      <c r="I162" s="12">
        <f>H162/E162</f>
      </c>
      <c r="J162" t="n" s="4">
        <v>495.0</v>
      </c>
      <c r="K162" s="12">
        <f>J162/E162</f>
      </c>
      <c r="L162" s="12">
        <f>C162/B162</f>
      </c>
    </row>
    <row r="163">
      <c r="A163" t="s" s="8">
        <v>169</v>
      </c>
      <c r="B163" t="n" s="8">
        <v>342.0</v>
      </c>
      <c r="C163" t="n" s="8">
        <v>187.0</v>
      </c>
      <c r="D163" t="n" s="8">
        <v>0.0</v>
      </c>
      <c r="E163" t="n" s="8">
        <v>187.0</v>
      </c>
      <c r="F163" t="n" s="8">
        <v>8.0</v>
      </c>
      <c r="G163" s="13">
        <f>F163/E163</f>
      </c>
      <c r="H163" t="n" s="8">
        <v>85.0</v>
      </c>
      <c r="I163" s="13">
        <f>H163/E163</f>
      </c>
      <c r="J163" t="n" s="8">
        <v>94.0</v>
      </c>
      <c r="K163" s="13">
        <f>J163/E163</f>
      </c>
      <c r="L163" s="13">
        <f>C163/B163</f>
      </c>
    </row>
    <row r="164">
      <c r="A164" t="s" s="4">
        <v>170</v>
      </c>
      <c r="B164" t="n" s="4">
        <v>68.0</v>
      </c>
      <c r="C164" t="n" s="4">
        <v>40.0</v>
      </c>
      <c r="D164" t="n" s="4">
        <v>1.0</v>
      </c>
      <c r="E164" t="n" s="4">
        <v>39.0</v>
      </c>
      <c r="F164" t="n" s="4">
        <v>1.0</v>
      </c>
      <c r="G164" s="12">
        <f>F164/E164</f>
      </c>
      <c r="H164" t="n" s="4">
        <v>11.0</v>
      </c>
      <c r="I164" s="12">
        <f>H164/E164</f>
      </c>
      <c r="J164" t="n" s="4">
        <v>27.0</v>
      </c>
      <c r="K164" s="12">
        <f>J164/E164</f>
      </c>
      <c r="L164" s="12">
        <f>C164/B164</f>
      </c>
    </row>
    <row r="165">
      <c r="A165" t="s" s="8">
        <v>171</v>
      </c>
      <c r="B165" t="n" s="8">
        <v>96.0</v>
      </c>
      <c r="C165" t="n" s="8">
        <v>52.0</v>
      </c>
      <c r="D165" t="n" s="8">
        <v>0.0</v>
      </c>
      <c r="E165" t="n" s="8">
        <v>52.0</v>
      </c>
      <c r="F165" t="n" s="8">
        <v>2.0</v>
      </c>
      <c r="G165" s="13">
        <f>F165/E165</f>
      </c>
      <c r="H165" t="n" s="8">
        <v>20.0</v>
      </c>
      <c r="I165" s="13">
        <f>H165/E165</f>
      </c>
      <c r="J165" t="n" s="8">
        <v>30.0</v>
      </c>
      <c r="K165" s="13">
        <f>J165/E165</f>
      </c>
      <c r="L165" s="13">
        <f>C165/B165</f>
      </c>
    </row>
    <row r="166">
      <c r="A166" t="s" s="4">
        <v>172</v>
      </c>
      <c r="B166" t="n" s="4">
        <v>398.0</v>
      </c>
      <c r="C166" t="n" s="4">
        <v>204.0</v>
      </c>
      <c r="D166" t="n" s="4">
        <v>0.0</v>
      </c>
      <c r="E166" t="n" s="4">
        <v>204.0</v>
      </c>
      <c r="F166" t="n" s="4">
        <v>4.0</v>
      </c>
      <c r="G166" s="12">
        <f>F166/E166</f>
      </c>
      <c r="H166" t="n" s="4">
        <v>103.0</v>
      </c>
      <c r="I166" s="12">
        <f>H166/E166</f>
      </c>
      <c r="J166" t="n" s="4">
        <v>97.0</v>
      </c>
      <c r="K166" s="12">
        <f>J166/E166</f>
      </c>
      <c r="L166" s="12">
        <f>C166/B166</f>
      </c>
    </row>
    <row r="167">
      <c r="A167" t="s" s="8">
        <v>173</v>
      </c>
      <c r="B167" t="n" s="8">
        <v>14998.0</v>
      </c>
      <c r="C167" t="n" s="8">
        <v>7155.0</v>
      </c>
      <c r="D167" t="n" s="8">
        <v>7.0</v>
      </c>
      <c r="E167" t="n" s="8">
        <v>7148.0</v>
      </c>
      <c r="F167" t="n" s="8">
        <v>348.0</v>
      </c>
      <c r="G167" s="13">
        <f>F167/E167</f>
      </c>
      <c r="H167" t="n" s="8">
        <v>4114.0</v>
      </c>
      <c r="I167" s="13">
        <f>H167/E167</f>
      </c>
      <c r="J167" t="n" s="8">
        <v>2686.0</v>
      </c>
      <c r="K167" s="13">
        <f>J167/E167</f>
      </c>
      <c r="L167" s="13">
        <f>C167/B167</f>
      </c>
    </row>
    <row r="168">
      <c r="A168" t="s" s="4">
        <v>174</v>
      </c>
      <c r="B168" t="n" s="4">
        <v>2356.0</v>
      </c>
      <c r="C168" t="n" s="4">
        <v>1217.0</v>
      </c>
      <c r="D168" t="n" s="4">
        <v>4.0</v>
      </c>
      <c r="E168" t="n" s="4">
        <v>1213.0</v>
      </c>
      <c r="F168" t="n" s="4">
        <v>30.0</v>
      </c>
      <c r="G168" s="12">
        <f>F168/E168</f>
      </c>
      <c r="H168" t="n" s="4">
        <v>625.0</v>
      </c>
      <c r="I168" s="12">
        <f>H168/E168</f>
      </c>
      <c r="J168" t="n" s="4">
        <v>558.0</v>
      </c>
      <c r="K168" s="12">
        <f>J168/E168</f>
      </c>
      <c r="L168" s="12">
        <f>C168/B168</f>
      </c>
    </row>
    <row r="169">
      <c r="A169" t="s" s="9">
        <v>101</v>
      </c>
      <c r="B169" s="7">
        <f>SUM(B96:B168)</f>
      </c>
      <c r="C169" s="7">
        <f>SUM(C96:C168)</f>
      </c>
      <c r="D169" s="7">
        <f>SUM(D96:D168)</f>
      </c>
      <c r="E169" s="7">
        <f>SUM(E96:E168)</f>
      </c>
      <c r="F169" s="7">
        <f>SUM(F96:F168)</f>
      </c>
      <c r="G169" s="14">
        <f>F169/E169</f>
      </c>
      <c r="H169" s="7">
        <f>SUM(H96:H168)</f>
      </c>
      <c r="I169" s="14">
        <f>H169/E169</f>
      </c>
      <c r="J169" s="7">
        <f>SUM(J96:J168)</f>
      </c>
      <c r="K169" s="14">
        <f>J169/E169</f>
      </c>
      <c r="L169" s="14">
        <f>C169/B169</f>
      </c>
    </row>
    <row r="170"/>
    <row r="171">
      <c r="A171" t="s" s="7">
        <v>175</v>
      </c>
    </row>
    <row r="172">
      <c r="A172" t="s" s="4">
        <v>176</v>
      </c>
      <c r="B172" t="n" s="4">
        <v>2942.0</v>
      </c>
      <c r="C172" t="n" s="4">
        <v>1615.0</v>
      </c>
      <c r="D172" t="n" s="4">
        <v>0.0</v>
      </c>
      <c r="E172" t="n" s="4">
        <v>1615.0</v>
      </c>
      <c r="F172" t="n" s="4">
        <v>110.0</v>
      </c>
      <c r="G172" s="12">
        <f>F172/E172</f>
      </c>
      <c r="H172" t="n" s="4">
        <v>805.0</v>
      </c>
      <c r="I172" s="12">
        <f>H172/E172</f>
      </c>
      <c r="J172" t="n" s="4">
        <v>700.0</v>
      </c>
      <c r="K172" s="12">
        <f>J172/E172</f>
      </c>
      <c r="L172" s="12">
        <f>C172/B172</f>
      </c>
    </row>
    <row r="173">
      <c r="A173" t="s" s="8">
        <v>177</v>
      </c>
      <c r="B173" t="n" s="8">
        <v>5523.0</v>
      </c>
      <c r="C173" t="n" s="8">
        <v>3406.0</v>
      </c>
      <c r="D173" t="n" s="8">
        <v>3.0</v>
      </c>
      <c r="E173" t="n" s="8">
        <v>3403.0</v>
      </c>
      <c r="F173" t="n" s="8">
        <v>173.0</v>
      </c>
      <c r="G173" s="13">
        <f>F173/E173</f>
      </c>
      <c r="H173" t="n" s="8">
        <v>1662.0</v>
      </c>
      <c r="I173" s="13">
        <f>H173/E173</f>
      </c>
      <c r="J173" t="n" s="8">
        <v>1568.0</v>
      </c>
      <c r="K173" s="13">
        <f>J173/E173</f>
      </c>
      <c r="L173" s="13">
        <f>C173/B173</f>
      </c>
    </row>
    <row r="174">
      <c r="A174" t="s" s="4">
        <v>178</v>
      </c>
      <c r="B174" t="n" s="4">
        <v>955.0</v>
      </c>
      <c r="C174" t="n" s="4">
        <v>685.0</v>
      </c>
      <c r="D174" t="n" s="4">
        <v>0.0</v>
      </c>
      <c r="E174" t="n" s="4">
        <v>685.0</v>
      </c>
      <c r="F174" t="n" s="4">
        <v>35.0</v>
      </c>
      <c r="G174" s="12">
        <f>F174/E174</f>
      </c>
      <c r="H174" t="n" s="4">
        <v>272.0</v>
      </c>
      <c r="I174" s="12">
        <f>H174/E174</f>
      </c>
      <c r="J174" t="n" s="4">
        <v>378.0</v>
      </c>
      <c r="K174" s="12">
        <f>J174/E174</f>
      </c>
      <c r="L174" s="12">
        <f>C174/B174</f>
      </c>
    </row>
    <row r="175">
      <c r="A175" t="s" s="8">
        <v>179</v>
      </c>
      <c r="B175" t="n" s="8">
        <v>67952.0</v>
      </c>
      <c r="C175" t="n" s="8">
        <v>35674.0</v>
      </c>
      <c r="D175" t="n" s="8">
        <v>18.0</v>
      </c>
      <c r="E175" t="n" s="8">
        <v>35656.0</v>
      </c>
      <c r="F175" t="n" s="8">
        <v>1493.0</v>
      </c>
      <c r="G175" s="13">
        <f>F175/E175</f>
      </c>
      <c r="H175" t="n" s="8">
        <v>23358.0</v>
      </c>
      <c r="I175" s="13">
        <f>H175/E175</f>
      </c>
      <c r="J175" t="n" s="8">
        <v>10805.0</v>
      </c>
      <c r="K175" s="13">
        <f>J175/E175</f>
      </c>
      <c r="L175" s="13">
        <f>C175/B175</f>
      </c>
    </row>
    <row r="176">
      <c r="A176" t="s" s="4">
        <v>180</v>
      </c>
      <c r="B176" t="n" s="4">
        <v>5381.0</v>
      </c>
      <c r="C176" t="n" s="4">
        <v>2986.0</v>
      </c>
      <c r="D176" t="n" s="4">
        <v>1.0</v>
      </c>
      <c r="E176" t="n" s="4">
        <v>2985.0</v>
      </c>
      <c r="F176" t="n" s="4">
        <v>152.0</v>
      </c>
      <c r="G176" s="12">
        <f>F176/E176</f>
      </c>
      <c r="H176" t="n" s="4">
        <v>1380.0</v>
      </c>
      <c r="I176" s="12">
        <f>H176/E176</f>
      </c>
      <c r="J176" t="n" s="4">
        <v>1453.0</v>
      </c>
      <c r="K176" s="12">
        <f>J176/E176</f>
      </c>
      <c r="L176" s="12">
        <f>C176/B176</f>
      </c>
    </row>
    <row r="177">
      <c r="A177" t="s" s="8">
        <v>181</v>
      </c>
      <c r="B177" t="n" s="8">
        <v>2442.0</v>
      </c>
      <c r="C177" t="n" s="8">
        <v>1312.0</v>
      </c>
      <c r="D177" t="n" s="8">
        <v>0.0</v>
      </c>
      <c r="E177" t="n" s="8">
        <v>1312.0</v>
      </c>
      <c r="F177" t="n" s="8">
        <v>85.0</v>
      </c>
      <c r="G177" s="13">
        <f>F177/E177</f>
      </c>
      <c r="H177" t="n" s="8">
        <v>682.0</v>
      </c>
      <c r="I177" s="13">
        <f>H177/E177</f>
      </c>
      <c r="J177" t="n" s="8">
        <v>545.0</v>
      </c>
      <c r="K177" s="13">
        <f>J177/E177</f>
      </c>
      <c r="L177" s="13">
        <f>C177/B177</f>
      </c>
    </row>
    <row r="178">
      <c r="A178" t="s" s="9">
        <v>175</v>
      </c>
      <c r="B178" s="7">
        <f>SUM(B172:B177)</f>
      </c>
      <c r="C178" s="7">
        <f>SUM(C172:C177)</f>
      </c>
      <c r="D178" s="7">
        <f>SUM(D172:D177)</f>
      </c>
      <c r="E178" s="7">
        <f>SUM(E172:E177)</f>
      </c>
      <c r="F178" s="7">
        <f>SUM(F172:F177)</f>
      </c>
      <c r="G178" s="14">
        <f>F178/E178</f>
      </c>
      <c r="H178" s="7">
        <f>SUM(H172:H177)</f>
      </c>
      <c r="I178" s="14">
        <f>H178/E178</f>
      </c>
      <c r="J178" s="7">
        <f>SUM(J172:J177)</f>
      </c>
      <c r="K178" s="14">
        <f>J178/E178</f>
      </c>
      <c r="L178" s="14">
        <f>C178/B178</f>
      </c>
    </row>
    <row r="179"/>
    <row r="180">
      <c r="A180" t="s" s="7">
        <v>182</v>
      </c>
    </row>
    <row r="181">
      <c r="A181" t="s" s="4">
        <v>183</v>
      </c>
      <c r="B181" t="n" s="4">
        <v>2352.0</v>
      </c>
      <c r="C181" t="n" s="4">
        <v>1452.0</v>
      </c>
      <c r="D181" t="n" s="4">
        <v>0.0</v>
      </c>
      <c r="E181" t="n" s="4">
        <v>1452.0</v>
      </c>
      <c r="F181" t="n" s="4">
        <v>81.0</v>
      </c>
      <c r="G181" s="12">
        <f>F181/E181</f>
      </c>
      <c r="H181" t="n" s="4">
        <v>622.0</v>
      </c>
      <c r="I181" s="12">
        <f>H181/E181</f>
      </c>
      <c r="J181" t="n" s="4">
        <v>749.0</v>
      </c>
      <c r="K181" s="12">
        <f>J181/E181</f>
      </c>
      <c r="L181" s="12">
        <f>C181/B181</f>
      </c>
    </row>
    <row r="182">
      <c r="A182" t="s" s="8">
        <v>184</v>
      </c>
      <c r="B182" t="n" s="8">
        <v>3615.0</v>
      </c>
      <c r="C182" t="n" s="8">
        <v>2355.0</v>
      </c>
      <c r="D182" t="n" s="8">
        <v>0.0</v>
      </c>
      <c r="E182" t="n" s="8">
        <v>2355.0</v>
      </c>
      <c r="F182" t="n" s="8">
        <v>127.0</v>
      </c>
      <c r="G182" s="13">
        <f>F182/E182</f>
      </c>
      <c r="H182" t="n" s="8">
        <v>1058.0</v>
      </c>
      <c r="I182" s="13">
        <f>H182/E182</f>
      </c>
      <c r="J182" t="n" s="8">
        <v>1170.0</v>
      </c>
      <c r="K182" s="13">
        <f>J182/E182</f>
      </c>
      <c r="L182" s="13">
        <f>C182/B182</f>
      </c>
    </row>
    <row r="183">
      <c r="A183" t="s" s="4">
        <v>185</v>
      </c>
      <c r="B183" t="n" s="4">
        <v>1430.0</v>
      </c>
      <c r="C183" t="n" s="4">
        <v>824.0</v>
      </c>
      <c r="D183" t="n" s="4">
        <v>41.0</v>
      </c>
      <c r="E183" t="n" s="4">
        <v>783.0</v>
      </c>
      <c r="F183" t="n" s="4">
        <v>17.0</v>
      </c>
      <c r="G183" s="12">
        <f>F183/E183</f>
      </c>
      <c r="H183" t="n" s="4">
        <v>355.0</v>
      </c>
      <c r="I183" s="12">
        <f>H183/E183</f>
      </c>
      <c r="J183" t="n" s="4">
        <v>411.0</v>
      </c>
      <c r="K183" s="12">
        <f>J183/E183</f>
      </c>
      <c r="L183" s="12">
        <f>C183/B183</f>
      </c>
    </row>
    <row r="184">
      <c r="A184" t="s" s="8">
        <v>186</v>
      </c>
      <c r="B184" t="n" s="8">
        <v>1337.0</v>
      </c>
      <c r="C184" t="n" s="8">
        <v>813.0</v>
      </c>
      <c r="D184" t="n" s="8">
        <v>1.0</v>
      </c>
      <c r="E184" t="n" s="8">
        <v>812.0</v>
      </c>
      <c r="F184" t="n" s="8">
        <v>46.0</v>
      </c>
      <c r="G184" s="13">
        <f>F184/E184</f>
      </c>
      <c r="H184" t="n" s="8">
        <v>343.0</v>
      </c>
      <c r="I184" s="13">
        <f>H184/E184</f>
      </c>
      <c r="J184" t="n" s="8">
        <v>423.0</v>
      </c>
      <c r="K184" s="13">
        <f>J184/E184</f>
      </c>
      <c r="L184" s="13">
        <f>C184/B184</f>
      </c>
    </row>
    <row r="185">
      <c r="A185" t="s" s="4">
        <v>187</v>
      </c>
      <c r="B185" t="n" s="4">
        <v>2146.0</v>
      </c>
      <c r="C185" t="n" s="4">
        <v>1260.0</v>
      </c>
      <c r="D185" t="n" s="4">
        <v>0.0</v>
      </c>
      <c r="E185" t="n" s="4">
        <v>1260.0</v>
      </c>
      <c r="F185" t="n" s="4">
        <v>72.0</v>
      </c>
      <c r="G185" s="12">
        <f>F185/E185</f>
      </c>
      <c r="H185" t="n" s="4">
        <v>565.0</v>
      </c>
      <c r="I185" s="12">
        <f>H185/E185</f>
      </c>
      <c r="J185" t="n" s="4">
        <v>623.0</v>
      </c>
      <c r="K185" s="12">
        <f>J185/E185</f>
      </c>
      <c r="L185" s="12">
        <f>C185/B185</f>
      </c>
    </row>
    <row r="186">
      <c r="A186" t="s" s="8">
        <v>188</v>
      </c>
      <c r="B186" t="n" s="8">
        <v>6481.0</v>
      </c>
      <c r="C186" t="n" s="8">
        <v>3903.0</v>
      </c>
      <c r="D186" t="n" s="8">
        <v>2.0</v>
      </c>
      <c r="E186" t="n" s="8">
        <v>3901.0</v>
      </c>
      <c r="F186" t="n" s="8">
        <v>178.0</v>
      </c>
      <c r="G186" s="13">
        <f>F186/E186</f>
      </c>
      <c r="H186" t="n" s="8">
        <v>1502.0</v>
      </c>
      <c r="I186" s="13">
        <f>H186/E186</f>
      </c>
      <c r="J186" t="n" s="8">
        <v>2221.0</v>
      </c>
      <c r="K186" s="13">
        <f>J186/E186</f>
      </c>
      <c r="L186" s="13">
        <f>C186/B186</f>
      </c>
    </row>
    <row r="187">
      <c r="A187" t="s" s="4">
        <v>189</v>
      </c>
      <c r="B187" t="n" s="4">
        <v>390.0</v>
      </c>
      <c r="C187" t="n" s="4">
        <v>239.0</v>
      </c>
      <c r="D187" t="n" s="4">
        <v>0.0</v>
      </c>
      <c r="E187" t="n" s="4">
        <v>239.0</v>
      </c>
      <c r="F187" t="n" s="4">
        <v>10.0</v>
      </c>
      <c r="G187" s="12">
        <f>F187/E187</f>
      </c>
      <c r="H187" t="n" s="4">
        <v>116.0</v>
      </c>
      <c r="I187" s="12">
        <f>H187/E187</f>
      </c>
      <c r="J187" t="n" s="4">
        <v>113.0</v>
      </c>
      <c r="K187" s="12">
        <f>J187/E187</f>
      </c>
      <c r="L187" s="12">
        <f>C187/B187</f>
      </c>
    </row>
    <row r="188">
      <c r="A188" t="s" s="8">
        <v>190</v>
      </c>
      <c r="B188" t="n" s="8">
        <v>418.0</v>
      </c>
      <c r="C188" t="n" s="8">
        <v>244.0</v>
      </c>
      <c r="D188" t="n" s="8">
        <v>0.0</v>
      </c>
      <c r="E188" t="n" s="8">
        <v>244.0</v>
      </c>
      <c r="F188" t="n" s="8">
        <v>5.0</v>
      </c>
      <c r="G188" s="13">
        <f>F188/E188</f>
      </c>
      <c r="H188" t="n" s="8">
        <v>126.0</v>
      </c>
      <c r="I188" s="13">
        <f>H188/E188</f>
      </c>
      <c r="J188" t="n" s="8">
        <v>113.0</v>
      </c>
      <c r="K188" s="13">
        <f>J188/E188</f>
      </c>
      <c r="L188" s="13">
        <f>C188/B188</f>
      </c>
    </row>
    <row r="189">
      <c r="A189" t="s" s="4">
        <v>191</v>
      </c>
      <c r="B189" t="n" s="4">
        <v>3844.0</v>
      </c>
      <c r="C189" t="n" s="4">
        <v>2170.0</v>
      </c>
      <c r="D189" t="n" s="4">
        <v>0.0</v>
      </c>
      <c r="E189" t="n" s="4">
        <v>2170.0</v>
      </c>
      <c r="F189" t="n" s="4">
        <v>116.0</v>
      </c>
      <c r="G189" s="12">
        <f>F189/E189</f>
      </c>
      <c r="H189" t="n" s="4">
        <v>1070.0</v>
      </c>
      <c r="I189" s="12">
        <f>H189/E189</f>
      </c>
      <c r="J189" t="n" s="4">
        <v>984.0</v>
      </c>
      <c r="K189" s="12">
        <f>J189/E189</f>
      </c>
      <c r="L189" s="12">
        <f>C189/B189</f>
      </c>
    </row>
    <row r="190">
      <c r="A190" t="s" s="8">
        <v>192</v>
      </c>
      <c r="B190" t="n" s="8">
        <v>820.0</v>
      </c>
      <c r="C190" t="n" s="8">
        <v>483.0</v>
      </c>
      <c r="D190" t="n" s="8">
        <v>16.0</v>
      </c>
      <c r="E190" t="n" s="8">
        <v>467.0</v>
      </c>
      <c r="F190" t="n" s="8">
        <v>18.0</v>
      </c>
      <c r="G190" s="13">
        <f>F190/E190</f>
      </c>
      <c r="H190" t="n" s="8">
        <v>216.0</v>
      </c>
      <c r="I190" s="13">
        <f>H190/E190</f>
      </c>
      <c r="J190" t="n" s="8">
        <v>233.0</v>
      </c>
      <c r="K190" s="13">
        <f>J190/E190</f>
      </c>
      <c r="L190" s="13">
        <f>C190/B190</f>
      </c>
    </row>
    <row r="191">
      <c r="A191" t="s" s="4">
        <v>193</v>
      </c>
      <c r="B191" t="n" s="4">
        <v>1660.0</v>
      </c>
      <c r="C191" t="n" s="4">
        <v>965.0</v>
      </c>
      <c r="D191" t="n" s="4">
        <v>3.0</v>
      </c>
      <c r="E191" t="n" s="4">
        <v>962.0</v>
      </c>
      <c r="F191" t="n" s="4">
        <v>58.0</v>
      </c>
      <c r="G191" s="12">
        <f>F191/E191</f>
      </c>
      <c r="H191" t="n" s="4">
        <v>419.0</v>
      </c>
      <c r="I191" s="12">
        <f>H191/E191</f>
      </c>
      <c r="J191" t="n" s="4">
        <v>485.0</v>
      </c>
      <c r="K191" s="12">
        <f>J191/E191</f>
      </c>
      <c r="L191" s="12">
        <f>C191/B191</f>
      </c>
    </row>
    <row r="192">
      <c r="A192" t="s" s="8">
        <v>194</v>
      </c>
      <c r="B192" t="n" s="8">
        <v>10902.0</v>
      </c>
      <c r="C192" t="n" s="8">
        <v>6834.0</v>
      </c>
      <c r="D192" t="n" s="8">
        <v>7.0</v>
      </c>
      <c r="E192" t="n" s="8">
        <v>6827.0</v>
      </c>
      <c r="F192" t="n" s="8">
        <v>344.0</v>
      </c>
      <c r="G192" s="13">
        <f>F192/E192</f>
      </c>
      <c r="H192" t="n" s="8">
        <v>3100.0</v>
      </c>
      <c r="I192" s="13">
        <f>H192/E192</f>
      </c>
      <c r="J192" t="n" s="8">
        <v>3383.0</v>
      </c>
      <c r="K192" s="13">
        <f>J192/E192</f>
      </c>
      <c r="L192" s="13">
        <f>C192/B192</f>
      </c>
    </row>
    <row r="193">
      <c r="A193" t="s" s="4">
        <v>195</v>
      </c>
      <c r="B193" t="n" s="4">
        <v>240.0</v>
      </c>
      <c r="C193" t="n" s="4">
        <v>162.0</v>
      </c>
      <c r="D193" t="n" s="4">
        <v>0.0</v>
      </c>
      <c r="E193" t="n" s="4">
        <v>162.0</v>
      </c>
      <c r="F193" t="n" s="4">
        <v>6.0</v>
      </c>
      <c r="G193" s="12">
        <f>F193/E193</f>
      </c>
      <c r="H193" t="n" s="4">
        <v>72.0</v>
      </c>
      <c r="I193" s="12">
        <f>H193/E193</f>
      </c>
      <c r="J193" t="n" s="4">
        <v>84.0</v>
      </c>
      <c r="K193" s="12">
        <f>J193/E193</f>
      </c>
      <c r="L193" s="12">
        <f>C193/B193</f>
      </c>
    </row>
    <row r="194">
      <c r="A194" t="s" s="8">
        <v>196</v>
      </c>
      <c r="B194" t="n" s="8">
        <v>276.0</v>
      </c>
      <c r="C194" t="n" s="8">
        <v>186.0</v>
      </c>
      <c r="D194" t="n" s="8">
        <v>2.0</v>
      </c>
      <c r="E194" t="n" s="8">
        <v>184.0</v>
      </c>
      <c r="F194" t="n" s="8">
        <v>5.0</v>
      </c>
      <c r="G194" s="13">
        <f>F194/E194</f>
      </c>
      <c r="H194" t="n" s="8">
        <v>102.0</v>
      </c>
      <c r="I194" s="13">
        <f>H194/E194</f>
      </c>
      <c r="J194" t="n" s="8">
        <v>77.0</v>
      </c>
      <c r="K194" s="13">
        <f>J194/E194</f>
      </c>
      <c r="L194" s="13">
        <f>C194/B194</f>
      </c>
    </row>
    <row r="195">
      <c r="A195" t="s" s="4">
        <v>197</v>
      </c>
      <c r="B195" t="n" s="4">
        <v>2212.0</v>
      </c>
      <c r="C195" t="n" s="4">
        <v>1365.0</v>
      </c>
      <c r="D195" t="n" s="4">
        <v>0.0</v>
      </c>
      <c r="E195" t="n" s="4">
        <v>1365.0</v>
      </c>
      <c r="F195" t="n" s="4">
        <v>65.0</v>
      </c>
      <c r="G195" s="12">
        <f>F195/E195</f>
      </c>
      <c r="H195" t="n" s="4">
        <v>629.0</v>
      </c>
      <c r="I195" s="12">
        <f>H195/E195</f>
      </c>
      <c r="J195" t="n" s="4">
        <v>671.0</v>
      </c>
      <c r="K195" s="12">
        <f>J195/E195</f>
      </c>
      <c r="L195" s="12">
        <f>C195/B195</f>
      </c>
    </row>
    <row r="196">
      <c r="A196" t="s" s="8">
        <v>198</v>
      </c>
      <c r="B196" t="n" s="8">
        <v>1433.0</v>
      </c>
      <c r="C196" t="n" s="8">
        <v>833.0</v>
      </c>
      <c r="D196" t="n" s="8">
        <v>1.0</v>
      </c>
      <c r="E196" t="n" s="8">
        <v>832.0</v>
      </c>
      <c r="F196" t="n" s="8">
        <v>52.0</v>
      </c>
      <c r="G196" s="13">
        <f>F196/E196</f>
      </c>
      <c r="H196" t="n" s="8">
        <v>390.0</v>
      </c>
      <c r="I196" s="13">
        <f>H196/E196</f>
      </c>
      <c r="J196" t="n" s="8">
        <v>390.0</v>
      </c>
      <c r="K196" s="13">
        <f>J196/E196</f>
      </c>
      <c r="L196" s="13">
        <f>C196/B196</f>
      </c>
    </row>
    <row r="197">
      <c r="A197" t="s" s="9">
        <v>182</v>
      </c>
      <c r="B197" s="7">
        <f>SUM(B181:B196)</f>
      </c>
      <c r="C197" s="7">
        <f>SUM(C181:C196)</f>
      </c>
      <c r="D197" s="7">
        <f>SUM(D181:D196)</f>
      </c>
      <c r="E197" s="7">
        <f>SUM(E181:E196)</f>
      </c>
      <c r="F197" s="7">
        <f>SUM(F181:F196)</f>
      </c>
      <c r="G197" s="14">
        <f>F197/E197</f>
      </c>
      <c r="H197" s="7">
        <f>SUM(H181:H196)</f>
      </c>
      <c r="I197" s="14">
        <f>H197/E197</f>
      </c>
      <c r="J197" s="7">
        <f>SUM(J181:J196)</f>
      </c>
      <c r="K197" s="14">
        <f>J197/E197</f>
      </c>
      <c r="L197" s="14">
        <f>C197/B197</f>
      </c>
    </row>
    <row r="198"/>
    <row r="199">
      <c r="A199" t="s" s="7">
        <v>199</v>
      </c>
    </row>
    <row r="200">
      <c r="A200" t="s" s="4">
        <v>200</v>
      </c>
      <c r="B200" t="n" s="4">
        <v>361.0</v>
      </c>
      <c r="C200" t="n" s="4">
        <v>199.0</v>
      </c>
      <c r="D200" t="n" s="4">
        <v>1.0</v>
      </c>
      <c r="E200" t="n" s="4">
        <v>198.0</v>
      </c>
      <c r="F200" t="n" s="4">
        <v>7.0</v>
      </c>
      <c r="G200" s="12">
        <f>F200/E200</f>
      </c>
      <c r="H200" t="n" s="4">
        <v>73.0</v>
      </c>
      <c r="I200" s="12">
        <f>H200/E200</f>
      </c>
      <c r="J200" t="n" s="4">
        <v>118.0</v>
      </c>
      <c r="K200" s="12">
        <f>J200/E200</f>
      </c>
      <c r="L200" s="12">
        <f>C200/B200</f>
      </c>
    </row>
    <row r="201">
      <c r="A201" t="s" s="8">
        <v>201</v>
      </c>
      <c r="B201" t="n" s="8">
        <v>239.0</v>
      </c>
      <c r="C201" t="n" s="8">
        <v>140.0</v>
      </c>
      <c r="D201" t="n" s="8">
        <v>1.0</v>
      </c>
      <c r="E201" t="n" s="8">
        <v>139.0</v>
      </c>
      <c r="F201" t="n" s="8">
        <v>4.0</v>
      </c>
      <c r="G201" s="13">
        <f>F201/E201</f>
      </c>
      <c r="H201" t="n" s="8">
        <v>57.0</v>
      </c>
      <c r="I201" s="13">
        <f>H201/E201</f>
      </c>
      <c r="J201" t="n" s="8">
        <v>78.0</v>
      </c>
      <c r="K201" s="13">
        <f>J201/E201</f>
      </c>
      <c r="L201" s="13">
        <f>C201/B201</f>
      </c>
    </row>
    <row r="202">
      <c r="A202" t="s" s="4">
        <v>202</v>
      </c>
      <c r="B202" t="n" s="4">
        <v>2648.0</v>
      </c>
      <c r="C202" t="n" s="4">
        <v>1441.0</v>
      </c>
      <c r="D202" t="n" s="4">
        <v>0.0</v>
      </c>
      <c r="E202" t="n" s="4">
        <v>1441.0</v>
      </c>
      <c r="F202" t="n" s="4">
        <v>108.0</v>
      </c>
      <c r="G202" s="12">
        <f>F202/E202</f>
      </c>
      <c r="H202" t="n" s="4">
        <v>600.0</v>
      </c>
      <c r="I202" s="12">
        <f>H202/E202</f>
      </c>
      <c r="J202" t="n" s="4">
        <v>733.0</v>
      </c>
      <c r="K202" s="12">
        <f>J202/E202</f>
      </c>
      <c r="L202" s="12">
        <f>C202/B202</f>
      </c>
    </row>
    <row r="203">
      <c r="A203" t="s" s="8">
        <v>203</v>
      </c>
      <c r="B203" t="n" s="8">
        <v>386.0</v>
      </c>
      <c r="C203" t="n" s="8">
        <v>224.0</v>
      </c>
      <c r="D203" t="n" s="8">
        <v>1.0</v>
      </c>
      <c r="E203" t="n" s="8">
        <v>223.0</v>
      </c>
      <c r="F203" t="n" s="8">
        <v>5.0</v>
      </c>
      <c r="G203" s="13">
        <f>F203/E203</f>
      </c>
      <c r="H203" t="n" s="8">
        <v>84.0</v>
      </c>
      <c r="I203" s="13">
        <f>H203/E203</f>
      </c>
      <c r="J203" t="n" s="8">
        <v>134.0</v>
      </c>
      <c r="K203" s="13">
        <f>J203/E203</f>
      </c>
      <c r="L203" s="13">
        <f>C203/B203</f>
      </c>
    </row>
    <row r="204">
      <c r="A204" t="s" s="4">
        <v>204</v>
      </c>
      <c r="B204" t="n" s="4">
        <v>201.0</v>
      </c>
      <c r="C204" t="n" s="4">
        <v>124.0</v>
      </c>
      <c r="D204" t="n" s="4">
        <v>0.0</v>
      </c>
      <c r="E204" t="n" s="4">
        <v>124.0</v>
      </c>
      <c r="F204" t="n" s="4">
        <v>7.0</v>
      </c>
      <c r="G204" s="12">
        <f>F204/E204</f>
      </c>
      <c r="H204" t="n" s="4">
        <v>56.0</v>
      </c>
      <c r="I204" s="12">
        <f>H204/E204</f>
      </c>
      <c r="J204" t="n" s="4">
        <v>61.0</v>
      </c>
      <c r="K204" s="12">
        <f>J204/E204</f>
      </c>
      <c r="L204" s="12">
        <f>C204/B204</f>
      </c>
    </row>
    <row r="205">
      <c r="A205" t="s" s="8">
        <v>205</v>
      </c>
      <c r="B205" t="n" s="8">
        <v>900.0</v>
      </c>
      <c r="C205" t="n" s="8">
        <v>450.0</v>
      </c>
      <c r="D205" t="n" s="8">
        <v>0.0</v>
      </c>
      <c r="E205" t="n" s="8">
        <v>450.0</v>
      </c>
      <c r="F205" t="n" s="8">
        <v>18.0</v>
      </c>
      <c r="G205" s="13">
        <f>F205/E205</f>
      </c>
      <c r="H205" t="n" s="8">
        <v>189.0</v>
      </c>
      <c r="I205" s="13">
        <f>H205/E205</f>
      </c>
      <c r="J205" t="n" s="8">
        <v>243.0</v>
      </c>
      <c r="K205" s="13">
        <f>J205/E205</f>
      </c>
      <c r="L205" s="13">
        <f>C205/B205</f>
      </c>
    </row>
    <row r="206">
      <c r="A206" t="s" s="4">
        <v>206</v>
      </c>
      <c r="B206" t="n" s="4">
        <v>297.0</v>
      </c>
      <c r="C206" t="n" s="4">
        <v>201.0</v>
      </c>
      <c r="D206" t="n" s="4">
        <v>11.0</v>
      </c>
      <c r="E206" t="n" s="4">
        <v>190.0</v>
      </c>
      <c r="F206" t="n" s="4">
        <v>8.0</v>
      </c>
      <c r="G206" s="12">
        <f>F206/E206</f>
      </c>
      <c r="H206" t="n" s="4">
        <v>68.0</v>
      </c>
      <c r="I206" s="12">
        <f>H206/E206</f>
      </c>
      <c r="J206" t="n" s="4">
        <v>114.0</v>
      </c>
      <c r="K206" s="12">
        <f>J206/E206</f>
      </c>
      <c r="L206" s="12">
        <f>C206/B206</f>
      </c>
    </row>
    <row r="207">
      <c r="A207" t="s" s="8">
        <v>207</v>
      </c>
      <c r="B207" t="n" s="8">
        <v>401.0</v>
      </c>
      <c r="C207" t="n" s="8">
        <v>248.0</v>
      </c>
      <c r="D207" t="n" s="8">
        <v>1.0</v>
      </c>
      <c r="E207" t="n" s="8">
        <v>247.0</v>
      </c>
      <c r="F207" t="n" s="8">
        <v>10.0</v>
      </c>
      <c r="G207" s="13">
        <f>F207/E207</f>
      </c>
      <c r="H207" t="n" s="8">
        <v>88.0</v>
      </c>
      <c r="I207" s="13">
        <f>H207/E207</f>
      </c>
      <c r="J207" t="n" s="8">
        <v>149.0</v>
      </c>
      <c r="K207" s="13">
        <f>J207/E207</f>
      </c>
      <c r="L207" s="13">
        <f>C207/B207</f>
      </c>
    </row>
    <row r="208">
      <c r="A208" t="s" s="4">
        <v>208</v>
      </c>
      <c r="B208" t="n" s="4">
        <v>430.0</v>
      </c>
      <c r="C208" t="n" s="4">
        <v>275.0</v>
      </c>
      <c r="D208" t="n" s="4">
        <v>0.0</v>
      </c>
      <c r="E208" t="n" s="4">
        <v>275.0</v>
      </c>
      <c r="F208" t="n" s="4">
        <v>4.0</v>
      </c>
      <c r="G208" s="12">
        <f>F208/E208</f>
      </c>
      <c r="H208" t="n" s="4">
        <v>100.0</v>
      </c>
      <c r="I208" s="12">
        <f>H208/E208</f>
      </c>
      <c r="J208" t="n" s="4">
        <v>171.0</v>
      </c>
      <c r="K208" s="12">
        <f>J208/E208</f>
      </c>
      <c r="L208" s="12">
        <f>C208/B208</f>
      </c>
    </row>
    <row r="209">
      <c r="A209" t="s" s="8">
        <v>209</v>
      </c>
      <c r="B209" t="n" s="8">
        <v>108.0</v>
      </c>
      <c r="C209" t="n" s="8">
        <v>79.0</v>
      </c>
      <c r="D209" t="n" s="8">
        <v>0.0</v>
      </c>
      <c r="E209" t="n" s="8">
        <v>79.0</v>
      </c>
      <c r="F209" t="n" s="8">
        <v>2.0</v>
      </c>
      <c r="G209" s="13">
        <f>F209/E209</f>
      </c>
      <c r="H209" t="n" s="8">
        <v>41.0</v>
      </c>
      <c r="I209" s="13">
        <f>H209/E209</f>
      </c>
      <c r="J209" t="n" s="8">
        <v>36.0</v>
      </c>
      <c r="K209" s="13">
        <f>J209/E209</f>
      </c>
      <c r="L209" s="13">
        <f>C209/B209</f>
      </c>
    </row>
    <row r="210">
      <c r="A210" t="s" s="4">
        <v>210</v>
      </c>
      <c r="B210" t="n" s="4">
        <v>227.0</v>
      </c>
      <c r="C210" t="n" s="4">
        <v>137.0</v>
      </c>
      <c r="D210" t="n" s="4">
        <v>0.0</v>
      </c>
      <c r="E210" t="n" s="4">
        <v>137.0</v>
      </c>
      <c r="F210" t="n" s="4">
        <v>3.0</v>
      </c>
      <c r="G210" s="12">
        <f>F210/E210</f>
      </c>
      <c r="H210" t="n" s="4">
        <v>51.0</v>
      </c>
      <c r="I210" s="12">
        <f>H210/E210</f>
      </c>
      <c r="J210" t="n" s="4">
        <v>83.0</v>
      </c>
      <c r="K210" s="12">
        <f>J210/E210</f>
      </c>
      <c r="L210" s="12">
        <f>C210/B210</f>
      </c>
    </row>
    <row r="211">
      <c r="A211" t="s" s="8">
        <v>211</v>
      </c>
      <c r="B211" t="n" s="8">
        <v>243.0</v>
      </c>
      <c r="C211" t="n" s="8">
        <v>148.0</v>
      </c>
      <c r="D211" t="n" s="8">
        <v>0.0</v>
      </c>
      <c r="E211" t="n" s="8">
        <v>148.0</v>
      </c>
      <c r="F211" t="n" s="8">
        <v>5.0</v>
      </c>
      <c r="G211" s="13">
        <f>F211/E211</f>
      </c>
      <c r="H211" t="n" s="8">
        <v>61.0</v>
      </c>
      <c r="I211" s="13">
        <f>H211/E211</f>
      </c>
      <c r="J211" t="n" s="8">
        <v>82.0</v>
      </c>
      <c r="K211" s="13">
        <f>J211/E211</f>
      </c>
      <c r="L211" s="13">
        <f>C211/B211</f>
      </c>
    </row>
    <row r="212">
      <c r="A212" t="s" s="4">
        <v>212</v>
      </c>
      <c r="B212" t="n" s="4">
        <v>148.0</v>
      </c>
      <c r="C212" t="n" s="4">
        <v>85.0</v>
      </c>
      <c r="D212" t="n" s="4">
        <v>0.0</v>
      </c>
      <c r="E212" t="n" s="4">
        <v>85.0</v>
      </c>
      <c r="F212" t="n" s="4">
        <v>1.0</v>
      </c>
      <c r="G212" s="12">
        <f>F212/E212</f>
      </c>
      <c r="H212" t="n" s="4">
        <v>23.0</v>
      </c>
      <c r="I212" s="12">
        <f>H212/E212</f>
      </c>
      <c r="J212" t="n" s="4">
        <v>61.0</v>
      </c>
      <c r="K212" s="12">
        <f>J212/E212</f>
      </c>
      <c r="L212" s="12">
        <f>C212/B212</f>
      </c>
    </row>
    <row r="213">
      <c r="A213" t="s" s="8">
        <v>213</v>
      </c>
      <c r="B213" t="n" s="8">
        <v>2963.0</v>
      </c>
      <c r="C213" t="n" s="8">
        <v>1659.0</v>
      </c>
      <c r="D213" t="n" s="8">
        <v>0.0</v>
      </c>
      <c r="E213" t="n" s="8">
        <v>1659.0</v>
      </c>
      <c r="F213" t="n" s="8">
        <v>76.0</v>
      </c>
      <c r="G213" s="13">
        <f>F213/E213</f>
      </c>
      <c r="H213" t="n" s="8">
        <v>810.0</v>
      </c>
      <c r="I213" s="13">
        <f>H213/E213</f>
      </c>
      <c r="J213" t="n" s="8">
        <v>773.0</v>
      </c>
      <c r="K213" s="13">
        <f>J213/E213</f>
      </c>
      <c r="L213" s="13">
        <f>C213/B213</f>
      </c>
    </row>
    <row r="214">
      <c r="A214" t="s" s="4">
        <v>214</v>
      </c>
      <c r="B214" t="n" s="4">
        <v>366.0</v>
      </c>
      <c r="C214" t="n" s="4">
        <v>209.0</v>
      </c>
      <c r="D214" t="n" s="4">
        <v>0.0</v>
      </c>
      <c r="E214" t="n" s="4">
        <v>209.0</v>
      </c>
      <c r="F214" t="n" s="4">
        <v>10.0</v>
      </c>
      <c r="G214" s="12">
        <f>F214/E214</f>
      </c>
      <c r="H214" t="n" s="4">
        <v>78.0</v>
      </c>
      <c r="I214" s="12">
        <f>H214/E214</f>
      </c>
      <c r="J214" t="n" s="4">
        <v>121.0</v>
      </c>
      <c r="K214" s="12">
        <f>J214/E214</f>
      </c>
      <c r="L214" s="12">
        <f>C214/B214</f>
      </c>
    </row>
    <row r="215">
      <c r="A215" t="s" s="8">
        <v>215</v>
      </c>
      <c r="B215" t="n" s="8">
        <v>489.0</v>
      </c>
      <c r="C215" t="n" s="8">
        <v>321.0</v>
      </c>
      <c r="D215" t="n" s="8">
        <v>0.0</v>
      </c>
      <c r="E215" t="n" s="8">
        <v>321.0</v>
      </c>
      <c r="F215" t="n" s="8">
        <v>13.0</v>
      </c>
      <c r="G215" s="13">
        <f>F215/E215</f>
      </c>
      <c r="H215" t="n" s="8">
        <v>110.0</v>
      </c>
      <c r="I215" s="13">
        <f>H215/E215</f>
      </c>
      <c r="J215" t="n" s="8">
        <v>198.0</v>
      </c>
      <c r="K215" s="13">
        <f>J215/E215</f>
      </c>
      <c r="L215" s="13">
        <f>C215/B215</f>
      </c>
    </row>
    <row r="216">
      <c r="A216" t="s" s="4">
        <v>216</v>
      </c>
      <c r="B216" t="n" s="4">
        <v>1001.0</v>
      </c>
      <c r="C216" t="n" s="4">
        <v>579.0</v>
      </c>
      <c r="D216" t="n" s="4">
        <v>1.0</v>
      </c>
      <c r="E216" t="n" s="4">
        <v>578.0</v>
      </c>
      <c r="F216" t="n" s="4">
        <v>10.0</v>
      </c>
      <c r="G216" s="12">
        <f>F216/E216</f>
      </c>
      <c r="H216" t="n" s="4">
        <v>285.0</v>
      </c>
      <c r="I216" s="12">
        <f>H216/E216</f>
      </c>
      <c r="J216" t="n" s="4">
        <v>283.0</v>
      </c>
      <c r="K216" s="12">
        <f>J216/E216</f>
      </c>
      <c r="L216" s="12">
        <f>C216/B216</f>
      </c>
    </row>
    <row r="217">
      <c r="A217" t="s" s="8">
        <v>217</v>
      </c>
      <c r="B217" t="n" s="8">
        <v>161.0</v>
      </c>
      <c r="C217" t="n" s="8">
        <v>96.0</v>
      </c>
      <c r="D217" t="n" s="8">
        <v>0.0</v>
      </c>
      <c r="E217" t="n" s="8">
        <v>96.0</v>
      </c>
      <c r="F217" t="n" s="8">
        <v>4.0</v>
      </c>
      <c r="G217" s="13">
        <f>F217/E217</f>
      </c>
      <c r="H217" t="n" s="8">
        <v>48.0</v>
      </c>
      <c r="I217" s="13">
        <f>H217/E217</f>
      </c>
      <c r="J217" t="n" s="8">
        <v>44.0</v>
      </c>
      <c r="K217" s="13">
        <f>J217/E217</f>
      </c>
      <c r="L217" s="13">
        <f>C217/B217</f>
      </c>
    </row>
    <row r="218">
      <c r="A218" t="s" s="4">
        <v>218</v>
      </c>
      <c r="B218" t="n" s="4">
        <v>1813.0</v>
      </c>
      <c r="C218" t="n" s="4">
        <v>989.0</v>
      </c>
      <c r="D218" t="n" s="4">
        <v>5.0</v>
      </c>
      <c r="E218" t="n" s="4">
        <v>984.0</v>
      </c>
      <c r="F218" t="n" s="4">
        <v>27.0</v>
      </c>
      <c r="G218" s="12">
        <f>F218/E218</f>
      </c>
      <c r="H218" t="n" s="4">
        <v>412.0</v>
      </c>
      <c r="I218" s="12">
        <f>H218/E218</f>
      </c>
      <c r="J218" t="n" s="4">
        <v>545.0</v>
      </c>
      <c r="K218" s="12">
        <f>J218/E218</f>
      </c>
      <c r="L218" s="12">
        <f>C218/B218</f>
      </c>
    </row>
    <row r="219">
      <c r="A219" t="s" s="8">
        <v>219</v>
      </c>
      <c r="B219" t="n" s="8">
        <v>2058.0</v>
      </c>
      <c r="C219" t="n" s="8">
        <v>1252.0</v>
      </c>
      <c r="D219" t="n" s="8">
        <v>2.0</v>
      </c>
      <c r="E219" t="n" s="8">
        <v>1250.0</v>
      </c>
      <c r="F219" t="n" s="8">
        <v>58.0</v>
      </c>
      <c r="G219" s="13">
        <f>F219/E219</f>
      </c>
      <c r="H219" t="n" s="8">
        <v>508.0</v>
      </c>
      <c r="I219" s="13">
        <f>H219/E219</f>
      </c>
      <c r="J219" t="n" s="8">
        <v>684.0</v>
      </c>
      <c r="K219" s="13">
        <f>J219/E219</f>
      </c>
      <c r="L219" s="13">
        <f>C219/B219</f>
      </c>
    </row>
    <row r="220">
      <c r="A220" t="s" s="4">
        <v>220</v>
      </c>
      <c r="B220" t="n" s="4">
        <v>712.0</v>
      </c>
      <c r="C220" t="n" s="4">
        <v>415.0</v>
      </c>
      <c r="D220" t="n" s="4">
        <v>0.0</v>
      </c>
      <c r="E220" t="n" s="4">
        <v>415.0</v>
      </c>
      <c r="F220" t="n" s="4">
        <v>11.0</v>
      </c>
      <c r="G220" s="12">
        <f>F220/E220</f>
      </c>
      <c r="H220" t="n" s="4">
        <v>197.0</v>
      </c>
      <c r="I220" s="12">
        <f>H220/E220</f>
      </c>
      <c r="J220" t="n" s="4">
        <v>207.0</v>
      </c>
      <c r="K220" s="12">
        <f>J220/E220</f>
      </c>
      <c r="L220" s="12">
        <f>C220/B220</f>
      </c>
    </row>
    <row r="221">
      <c r="A221" t="s" s="8">
        <v>221</v>
      </c>
      <c r="B221" t="n" s="8">
        <v>1694.0</v>
      </c>
      <c r="C221" t="n" s="8">
        <v>990.0</v>
      </c>
      <c r="D221" t="n" s="8">
        <v>1.0</v>
      </c>
      <c r="E221" t="n" s="8">
        <v>989.0</v>
      </c>
      <c r="F221" t="n" s="8">
        <v>67.0</v>
      </c>
      <c r="G221" s="13">
        <f>F221/E221</f>
      </c>
      <c r="H221" t="n" s="8">
        <v>441.0</v>
      </c>
      <c r="I221" s="13">
        <f>H221/E221</f>
      </c>
      <c r="J221" t="n" s="8">
        <v>481.0</v>
      </c>
      <c r="K221" s="13">
        <f>J221/E221</f>
      </c>
      <c r="L221" s="13">
        <f>C221/B221</f>
      </c>
    </row>
    <row r="222">
      <c r="A222" t="s" s="4">
        <v>222</v>
      </c>
      <c r="B222" t="n" s="4">
        <v>224.0</v>
      </c>
      <c r="C222" t="n" s="4">
        <v>129.0</v>
      </c>
      <c r="D222" t="n" s="4">
        <v>0.0</v>
      </c>
      <c r="E222" t="n" s="4">
        <v>129.0</v>
      </c>
      <c r="F222" t="n" s="4">
        <v>10.0</v>
      </c>
      <c r="G222" s="12">
        <f>F222/E222</f>
      </c>
      <c r="H222" t="n" s="4">
        <v>61.0</v>
      </c>
      <c r="I222" s="12">
        <f>H222/E222</f>
      </c>
      <c r="J222" t="n" s="4">
        <v>58.0</v>
      </c>
      <c r="K222" s="12">
        <f>J222/E222</f>
      </c>
      <c r="L222" s="12">
        <f>C222/B222</f>
      </c>
    </row>
    <row r="223">
      <c r="A223" t="s" s="8">
        <v>223</v>
      </c>
      <c r="B223" t="n" s="8">
        <v>518.0</v>
      </c>
      <c r="C223" t="n" s="8">
        <v>326.0</v>
      </c>
      <c r="D223" t="n" s="8">
        <v>0.0</v>
      </c>
      <c r="E223" t="n" s="8">
        <v>326.0</v>
      </c>
      <c r="F223" t="n" s="8">
        <v>5.0</v>
      </c>
      <c r="G223" s="13">
        <f>F223/E223</f>
      </c>
      <c r="H223" t="n" s="8">
        <v>108.0</v>
      </c>
      <c r="I223" s="13">
        <f>H223/E223</f>
      </c>
      <c r="J223" t="n" s="8">
        <v>213.0</v>
      </c>
      <c r="K223" s="13">
        <f>J223/E223</f>
      </c>
      <c r="L223" s="13">
        <f>C223/B223</f>
      </c>
    </row>
    <row r="224">
      <c r="A224" t="s" s="4">
        <v>224</v>
      </c>
      <c r="B224" t="n" s="4">
        <v>1369.0</v>
      </c>
      <c r="C224" t="n" s="4">
        <v>673.0</v>
      </c>
      <c r="D224" t="n" s="4">
        <v>0.0</v>
      </c>
      <c r="E224" t="n" s="4">
        <v>673.0</v>
      </c>
      <c r="F224" t="n" s="4">
        <v>29.0</v>
      </c>
      <c r="G224" s="12">
        <f>F224/E224</f>
      </c>
      <c r="H224" t="n" s="4">
        <v>315.0</v>
      </c>
      <c r="I224" s="12">
        <f>H224/E224</f>
      </c>
      <c r="J224" t="n" s="4">
        <v>329.0</v>
      </c>
      <c r="K224" s="12">
        <f>J224/E224</f>
      </c>
      <c r="L224" s="12">
        <f>C224/B224</f>
      </c>
    </row>
    <row r="225">
      <c r="A225" t="s" s="8">
        <v>225</v>
      </c>
      <c r="B225" t="n" s="8">
        <v>695.0</v>
      </c>
      <c r="C225" t="n" s="8">
        <v>415.0</v>
      </c>
      <c r="D225" t="n" s="8">
        <v>0.0</v>
      </c>
      <c r="E225" t="n" s="8">
        <v>415.0</v>
      </c>
      <c r="F225" t="n" s="8">
        <v>21.0</v>
      </c>
      <c r="G225" s="13">
        <f>F225/E225</f>
      </c>
      <c r="H225" t="n" s="8">
        <v>199.0</v>
      </c>
      <c r="I225" s="13">
        <f>H225/E225</f>
      </c>
      <c r="J225" t="n" s="8">
        <v>195.0</v>
      </c>
      <c r="K225" s="13">
        <f>J225/E225</f>
      </c>
      <c r="L225" s="13">
        <f>C225/B225</f>
      </c>
    </row>
    <row r="226">
      <c r="A226" t="s" s="4">
        <v>226</v>
      </c>
      <c r="B226" t="n" s="4">
        <v>333.0</v>
      </c>
      <c r="C226" t="n" s="4">
        <v>184.0</v>
      </c>
      <c r="D226" t="n" s="4">
        <v>0.0</v>
      </c>
      <c r="E226" t="n" s="4">
        <v>184.0</v>
      </c>
      <c r="F226" t="n" s="4">
        <v>4.0</v>
      </c>
      <c r="G226" s="12">
        <f>F226/E226</f>
      </c>
      <c r="H226" t="n" s="4">
        <v>67.0</v>
      </c>
      <c r="I226" s="12">
        <f>H226/E226</f>
      </c>
      <c r="J226" t="n" s="4">
        <v>113.0</v>
      </c>
      <c r="K226" s="12">
        <f>J226/E226</f>
      </c>
      <c r="L226" s="12">
        <f>C226/B226</f>
      </c>
    </row>
    <row r="227">
      <c r="A227" t="s" s="8">
        <v>227</v>
      </c>
      <c r="B227" t="n" s="8">
        <v>2860.0</v>
      </c>
      <c r="C227" t="n" s="8">
        <v>1668.0</v>
      </c>
      <c r="D227" t="n" s="8">
        <v>0.0</v>
      </c>
      <c r="E227" t="n" s="8">
        <v>1668.0</v>
      </c>
      <c r="F227" t="n" s="8">
        <v>87.0</v>
      </c>
      <c r="G227" s="13">
        <f>F227/E227</f>
      </c>
      <c r="H227" t="n" s="8">
        <v>717.0</v>
      </c>
      <c r="I227" s="13">
        <f>H227/E227</f>
      </c>
      <c r="J227" t="n" s="8">
        <v>864.0</v>
      </c>
      <c r="K227" s="13">
        <f>J227/E227</f>
      </c>
      <c r="L227" s="13">
        <f>C227/B227</f>
      </c>
    </row>
    <row r="228">
      <c r="A228" t="s" s="4">
        <v>228</v>
      </c>
      <c r="B228" t="n" s="4">
        <v>762.0</v>
      </c>
      <c r="C228" t="n" s="4">
        <v>429.0</v>
      </c>
      <c r="D228" t="n" s="4">
        <v>0.0</v>
      </c>
      <c r="E228" t="n" s="4">
        <v>429.0</v>
      </c>
      <c r="F228" t="n" s="4">
        <v>26.0</v>
      </c>
      <c r="G228" s="12">
        <f>F228/E228</f>
      </c>
      <c r="H228" t="n" s="4">
        <v>187.0</v>
      </c>
      <c r="I228" s="12">
        <f>H228/E228</f>
      </c>
      <c r="J228" t="n" s="4">
        <v>216.0</v>
      </c>
      <c r="K228" s="12">
        <f>J228/E228</f>
      </c>
      <c r="L228" s="12">
        <f>C228/B228</f>
      </c>
    </row>
    <row r="229">
      <c r="A229" t="s" s="8">
        <v>229</v>
      </c>
      <c r="B229" t="n" s="8">
        <v>309.0</v>
      </c>
      <c r="C229" t="n" s="8">
        <v>158.0</v>
      </c>
      <c r="D229" t="n" s="8">
        <v>0.0</v>
      </c>
      <c r="E229" t="n" s="8">
        <v>158.0</v>
      </c>
      <c r="F229" t="n" s="8">
        <v>5.0</v>
      </c>
      <c r="G229" s="13">
        <f>F229/E229</f>
      </c>
      <c r="H229" t="n" s="8">
        <v>66.0</v>
      </c>
      <c r="I229" s="13">
        <f>H229/E229</f>
      </c>
      <c r="J229" t="n" s="8">
        <v>87.0</v>
      </c>
      <c r="K229" s="13">
        <f>J229/E229</f>
      </c>
      <c r="L229" s="13">
        <f>C229/B229</f>
      </c>
    </row>
    <row r="230">
      <c r="A230" t="s" s="4">
        <v>230</v>
      </c>
      <c r="B230" t="n" s="4">
        <v>1480.0</v>
      </c>
      <c r="C230" t="n" s="4">
        <v>736.0</v>
      </c>
      <c r="D230" t="n" s="4">
        <v>0.0</v>
      </c>
      <c r="E230" t="n" s="4">
        <v>736.0</v>
      </c>
      <c r="F230" t="n" s="4">
        <v>23.0</v>
      </c>
      <c r="G230" s="12">
        <f>F230/E230</f>
      </c>
      <c r="H230" t="n" s="4">
        <v>377.0</v>
      </c>
      <c r="I230" s="12">
        <f>H230/E230</f>
      </c>
      <c r="J230" t="n" s="4">
        <v>336.0</v>
      </c>
      <c r="K230" s="12">
        <f>J230/E230</f>
      </c>
      <c r="L230" s="12">
        <f>C230/B230</f>
      </c>
    </row>
    <row r="231">
      <c r="A231" t="s" s="8">
        <v>231</v>
      </c>
      <c r="B231" t="n" s="8">
        <v>605.0</v>
      </c>
      <c r="C231" t="n" s="8">
        <v>354.0</v>
      </c>
      <c r="D231" t="n" s="8">
        <v>0.0</v>
      </c>
      <c r="E231" t="n" s="8">
        <v>354.0</v>
      </c>
      <c r="F231" t="n" s="8">
        <v>13.0</v>
      </c>
      <c r="G231" s="13">
        <f>F231/E231</f>
      </c>
      <c r="H231" t="n" s="8">
        <v>126.0</v>
      </c>
      <c r="I231" s="13">
        <f>H231/E231</f>
      </c>
      <c r="J231" t="n" s="8">
        <v>215.0</v>
      </c>
      <c r="K231" s="13">
        <f>J231/E231</f>
      </c>
      <c r="L231" s="13">
        <f>C231/B231</f>
      </c>
    </row>
    <row r="232">
      <c r="A232" t="s" s="4">
        <v>232</v>
      </c>
      <c r="B232" t="n" s="4">
        <v>1758.0</v>
      </c>
      <c r="C232" t="n" s="4">
        <v>1008.0</v>
      </c>
      <c r="D232" t="n" s="4">
        <v>4.0</v>
      </c>
      <c r="E232" t="n" s="4">
        <v>1004.0</v>
      </c>
      <c r="F232" t="n" s="4">
        <v>64.0</v>
      </c>
      <c r="G232" s="12">
        <f>F232/E232</f>
      </c>
      <c r="H232" t="n" s="4">
        <v>448.0</v>
      </c>
      <c r="I232" s="12">
        <f>H232/E232</f>
      </c>
      <c r="J232" t="n" s="4">
        <v>492.0</v>
      </c>
      <c r="K232" s="12">
        <f>J232/E232</f>
      </c>
      <c r="L232" s="12">
        <f>C232/B232</f>
      </c>
    </row>
    <row r="233">
      <c r="A233" t="s" s="8">
        <v>233</v>
      </c>
      <c r="B233" t="n" s="8">
        <v>538.0</v>
      </c>
      <c r="C233" t="n" s="8">
        <v>355.0</v>
      </c>
      <c r="D233" t="n" s="8">
        <v>0.0</v>
      </c>
      <c r="E233" t="n" s="8">
        <v>355.0</v>
      </c>
      <c r="F233" t="n" s="8">
        <v>21.0</v>
      </c>
      <c r="G233" s="13">
        <f>F233/E233</f>
      </c>
      <c r="H233" t="n" s="8">
        <v>141.0</v>
      </c>
      <c r="I233" s="13">
        <f>H233/E233</f>
      </c>
      <c r="J233" t="n" s="8">
        <v>193.0</v>
      </c>
      <c r="K233" s="13">
        <f>J233/E233</f>
      </c>
      <c r="L233" s="13">
        <f>C233/B233</f>
      </c>
    </row>
    <row r="234">
      <c r="A234" t="s" s="4">
        <v>234</v>
      </c>
      <c r="B234" t="n" s="4">
        <v>466.0</v>
      </c>
      <c r="C234" t="n" s="4">
        <v>296.0</v>
      </c>
      <c r="D234" t="n" s="4">
        <v>0.0</v>
      </c>
      <c r="E234" t="n" s="4">
        <v>296.0</v>
      </c>
      <c r="F234" t="n" s="4">
        <v>5.0</v>
      </c>
      <c r="G234" s="12">
        <f>F234/E234</f>
      </c>
      <c r="H234" t="n" s="4">
        <v>126.0</v>
      </c>
      <c r="I234" s="12">
        <f>H234/E234</f>
      </c>
      <c r="J234" t="n" s="4">
        <v>165.0</v>
      </c>
      <c r="K234" s="12">
        <f>J234/E234</f>
      </c>
      <c r="L234" s="12">
        <f>C234/B234</f>
      </c>
    </row>
    <row r="235">
      <c r="A235" t="s" s="8">
        <v>235</v>
      </c>
      <c r="B235" t="n" s="8">
        <v>44.0</v>
      </c>
      <c r="C235" t="n" s="8">
        <v>34.0</v>
      </c>
      <c r="D235" t="n" s="8">
        <v>0.0</v>
      </c>
      <c r="E235" t="n" s="8">
        <v>34.0</v>
      </c>
      <c r="F235" t="n" s="8">
        <v>0.0</v>
      </c>
      <c r="G235" s="13">
        <f>F235/E235</f>
      </c>
      <c r="H235" t="n" s="8">
        <v>16.0</v>
      </c>
      <c r="I235" s="13">
        <f>H235/E235</f>
      </c>
      <c r="J235" t="n" s="8">
        <v>18.0</v>
      </c>
      <c r="K235" s="13">
        <f>J235/E235</f>
      </c>
      <c r="L235" s="13">
        <f>C235/B235</f>
      </c>
    </row>
    <row r="236">
      <c r="A236" t="s" s="4">
        <v>236</v>
      </c>
      <c r="B236" t="n" s="4">
        <v>212.0</v>
      </c>
      <c r="C236" t="n" s="4">
        <v>133.0</v>
      </c>
      <c r="D236" t="n" s="4">
        <v>0.0</v>
      </c>
      <c r="E236" t="n" s="4">
        <v>133.0</v>
      </c>
      <c r="F236" t="n" s="4">
        <v>4.0</v>
      </c>
      <c r="G236" s="12">
        <f>F236/E236</f>
      </c>
      <c r="H236" t="n" s="4">
        <v>75.0</v>
      </c>
      <c r="I236" s="12">
        <f>H236/E236</f>
      </c>
      <c r="J236" t="n" s="4">
        <v>54.0</v>
      </c>
      <c r="K236" s="12">
        <f>J236/E236</f>
      </c>
      <c r="L236" s="12">
        <f>C236/B236</f>
      </c>
    </row>
    <row r="237">
      <c r="A237" t="s" s="8">
        <v>237</v>
      </c>
      <c r="B237" t="n" s="8">
        <v>218.0</v>
      </c>
      <c r="C237" t="n" s="8">
        <v>133.0</v>
      </c>
      <c r="D237" t="n" s="8">
        <v>0.0</v>
      </c>
      <c r="E237" t="n" s="8">
        <v>133.0</v>
      </c>
      <c r="F237" t="n" s="8">
        <v>7.0</v>
      </c>
      <c r="G237" s="13">
        <f>F237/E237</f>
      </c>
      <c r="H237" t="n" s="8">
        <v>63.0</v>
      </c>
      <c r="I237" s="13">
        <f>H237/E237</f>
      </c>
      <c r="J237" t="n" s="8">
        <v>63.0</v>
      </c>
      <c r="K237" s="13">
        <f>J237/E237</f>
      </c>
      <c r="L237" s="13">
        <f>C237/B237</f>
      </c>
    </row>
    <row r="238">
      <c r="A238" t="s" s="4">
        <v>238</v>
      </c>
      <c r="B238" t="n" s="4">
        <v>337.0</v>
      </c>
      <c r="C238" t="n" s="4">
        <v>195.0</v>
      </c>
      <c r="D238" t="n" s="4">
        <v>0.0</v>
      </c>
      <c r="E238" t="n" s="4">
        <v>195.0</v>
      </c>
      <c r="F238" t="n" s="4">
        <v>6.0</v>
      </c>
      <c r="G238" s="12">
        <f>F238/E238</f>
      </c>
      <c r="H238" t="n" s="4">
        <v>94.0</v>
      </c>
      <c r="I238" s="12">
        <f>H238/E238</f>
      </c>
      <c r="J238" t="n" s="4">
        <v>95.0</v>
      </c>
      <c r="K238" s="12">
        <f>J238/E238</f>
      </c>
      <c r="L238" s="12">
        <f>C238/B238</f>
      </c>
    </row>
    <row r="239">
      <c r="A239" t="s" s="8">
        <v>239</v>
      </c>
      <c r="B239" t="n" s="8">
        <v>649.0</v>
      </c>
      <c r="C239" t="n" s="8">
        <v>398.0</v>
      </c>
      <c r="D239" t="n" s="8">
        <v>2.0</v>
      </c>
      <c r="E239" t="n" s="8">
        <v>396.0</v>
      </c>
      <c r="F239" t="n" s="8">
        <v>10.0</v>
      </c>
      <c r="G239" s="13">
        <f>F239/E239</f>
      </c>
      <c r="H239" t="n" s="8">
        <v>147.0</v>
      </c>
      <c r="I239" s="13">
        <f>H239/E239</f>
      </c>
      <c r="J239" t="n" s="8">
        <v>239.0</v>
      </c>
      <c r="K239" s="13">
        <f>J239/E239</f>
      </c>
      <c r="L239" s="13">
        <f>C239/B239</f>
      </c>
    </row>
    <row r="240">
      <c r="A240" t="s" s="4">
        <v>240</v>
      </c>
      <c r="B240" t="n" s="4">
        <v>9220.0</v>
      </c>
      <c r="C240" t="n" s="4">
        <v>5179.0</v>
      </c>
      <c r="D240" t="n" s="4">
        <v>1.0</v>
      </c>
      <c r="E240" t="n" s="4">
        <v>5178.0</v>
      </c>
      <c r="F240" t="n" s="4">
        <v>266.0</v>
      </c>
      <c r="G240" s="12">
        <f>F240/E240</f>
      </c>
      <c r="H240" t="n" s="4">
        <v>2693.0</v>
      </c>
      <c r="I240" s="12">
        <f>H240/E240</f>
      </c>
      <c r="J240" t="n" s="4">
        <v>2219.0</v>
      </c>
      <c r="K240" s="12">
        <f>J240/E240</f>
      </c>
      <c r="L240" s="12">
        <f>C240/B240</f>
      </c>
    </row>
    <row r="241">
      <c r="A241" t="s" s="8">
        <v>241</v>
      </c>
      <c r="B241" t="n" s="8">
        <v>342.0</v>
      </c>
      <c r="C241" t="n" s="8">
        <v>188.0</v>
      </c>
      <c r="D241" t="n" s="8">
        <v>1.0</v>
      </c>
      <c r="E241" t="n" s="8">
        <v>187.0</v>
      </c>
      <c r="F241" t="n" s="8">
        <v>5.0</v>
      </c>
      <c r="G241" s="13">
        <f>F241/E241</f>
      </c>
      <c r="H241" t="n" s="8">
        <v>92.0</v>
      </c>
      <c r="I241" s="13">
        <f>H241/E241</f>
      </c>
      <c r="J241" t="n" s="8">
        <v>90.0</v>
      </c>
      <c r="K241" s="13">
        <f>J241/E241</f>
      </c>
      <c r="L241" s="13">
        <f>C241/B241</f>
      </c>
    </row>
    <row r="242">
      <c r="A242" t="s" s="4">
        <v>242</v>
      </c>
      <c r="B242" t="n" s="4">
        <v>526.0</v>
      </c>
      <c r="C242" t="n" s="4">
        <v>291.0</v>
      </c>
      <c r="D242" t="n" s="4">
        <v>0.0</v>
      </c>
      <c r="E242" t="n" s="4">
        <v>291.0</v>
      </c>
      <c r="F242" t="n" s="4">
        <v>21.0</v>
      </c>
      <c r="G242" s="12">
        <f>F242/E242</f>
      </c>
      <c r="H242" t="n" s="4">
        <v>121.0</v>
      </c>
      <c r="I242" s="12">
        <f>H242/E242</f>
      </c>
      <c r="J242" t="n" s="4">
        <v>149.0</v>
      </c>
      <c r="K242" s="12">
        <f>J242/E242</f>
      </c>
      <c r="L242" s="12">
        <f>C242/B242</f>
      </c>
    </row>
    <row r="243">
      <c r="A243" t="s" s="8">
        <v>243</v>
      </c>
      <c r="B243" t="n" s="8">
        <v>2952.0</v>
      </c>
      <c r="C243" t="n" s="8">
        <v>1683.0</v>
      </c>
      <c r="D243" t="n" s="8">
        <v>1.0</v>
      </c>
      <c r="E243" t="n" s="8">
        <v>1682.0</v>
      </c>
      <c r="F243" t="n" s="8">
        <v>106.0</v>
      </c>
      <c r="G243" s="13">
        <f>F243/E243</f>
      </c>
      <c r="H243" t="n" s="8">
        <v>826.0</v>
      </c>
      <c r="I243" s="13">
        <f>H243/E243</f>
      </c>
      <c r="J243" t="n" s="8">
        <v>750.0</v>
      </c>
      <c r="K243" s="13">
        <f>J243/E243</f>
      </c>
      <c r="L243" s="13">
        <f>C243/B243</f>
      </c>
    </row>
    <row r="244">
      <c r="A244" t="s" s="4">
        <v>244</v>
      </c>
      <c r="B244" t="n" s="4">
        <v>318.0</v>
      </c>
      <c r="C244" t="n" s="4">
        <v>191.0</v>
      </c>
      <c r="D244" t="n" s="4">
        <v>0.0</v>
      </c>
      <c r="E244" t="n" s="4">
        <v>191.0</v>
      </c>
      <c r="F244" t="n" s="4">
        <v>7.0</v>
      </c>
      <c r="G244" s="12">
        <f>F244/E244</f>
      </c>
      <c r="H244" t="n" s="4">
        <v>76.0</v>
      </c>
      <c r="I244" s="12">
        <f>H244/E244</f>
      </c>
      <c r="J244" t="n" s="4">
        <v>108.0</v>
      </c>
      <c r="K244" s="12">
        <f>J244/E244</f>
      </c>
      <c r="L244" s="12">
        <f>C244/B244</f>
      </c>
    </row>
    <row r="245">
      <c r="A245" t="s" s="8">
        <v>245</v>
      </c>
      <c r="B245" t="n" s="8">
        <v>480.0</v>
      </c>
      <c r="C245" t="n" s="8">
        <v>287.0</v>
      </c>
      <c r="D245" t="n" s="8">
        <v>0.0</v>
      </c>
      <c r="E245" t="n" s="8">
        <v>287.0</v>
      </c>
      <c r="F245" t="n" s="8">
        <v>10.0</v>
      </c>
      <c r="G245" s="13">
        <f>F245/E245</f>
      </c>
      <c r="H245" t="n" s="8">
        <v>115.0</v>
      </c>
      <c r="I245" s="13">
        <f>H245/E245</f>
      </c>
      <c r="J245" t="n" s="8">
        <v>162.0</v>
      </c>
      <c r="K245" s="13">
        <f>J245/E245</f>
      </c>
      <c r="L245" s="13">
        <f>C245/B245</f>
      </c>
    </row>
    <row r="246">
      <c r="A246" t="s" s="4">
        <v>246</v>
      </c>
      <c r="B246" t="n" s="4">
        <v>286.0</v>
      </c>
      <c r="C246" t="n" s="4">
        <v>183.0</v>
      </c>
      <c r="D246" t="n" s="4">
        <v>0.0</v>
      </c>
      <c r="E246" t="n" s="4">
        <v>183.0</v>
      </c>
      <c r="F246" t="n" s="4">
        <v>13.0</v>
      </c>
      <c r="G246" s="12">
        <f>F246/E246</f>
      </c>
      <c r="H246" t="n" s="4">
        <v>69.0</v>
      </c>
      <c r="I246" s="12">
        <f>H246/E246</f>
      </c>
      <c r="J246" t="n" s="4">
        <v>101.0</v>
      </c>
      <c r="K246" s="12">
        <f>J246/E246</f>
      </c>
      <c r="L246" s="12">
        <f>C246/B246</f>
      </c>
    </row>
    <row r="247">
      <c r="A247" t="s" s="8">
        <v>247</v>
      </c>
      <c r="B247" t="n" s="8">
        <v>3034.0</v>
      </c>
      <c r="C247" t="n" s="8">
        <v>1773.0</v>
      </c>
      <c r="D247" t="n" s="8">
        <v>0.0</v>
      </c>
      <c r="E247" t="n" s="8">
        <v>1773.0</v>
      </c>
      <c r="F247" t="n" s="8">
        <v>78.0</v>
      </c>
      <c r="G247" s="13">
        <f>F247/E247</f>
      </c>
      <c r="H247" t="n" s="8">
        <v>740.0</v>
      </c>
      <c r="I247" s="13">
        <f>H247/E247</f>
      </c>
      <c r="J247" t="n" s="8">
        <v>955.0</v>
      </c>
      <c r="K247" s="13">
        <f>J247/E247</f>
      </c>
      <c r="L247" s="13">
        <f>C247/B247</f>
      </c>
    </row>
    <row r="248">
      <c r="A248" t="s" s="4">
        <v>248</v>
      </c>
      <c r="B248" t="n" s="4">
        <v>258.0</v>
      </c>
      <c r="C248" t="n" s="4">
        <v>139.0</v>
      </c>
      <c r="D248" t="n" s="4">
        <v>0.0</v>
      </c>
      <c r="E248" t="n" s="4">
        <v>139.0</v>
      </c>
      <c r="F248" t="n" s="4">
        <v>3.0</v>
      </c>
      <c r="G248" s="12">
        <f>F248/E248</f>
      </c>
      <c r="H248" t="n" s="4">
        <v>72.0</v>
      </c>
      <c r="I248" s="12">
        <f>H248/E248</f>
      </c>
      <c r="J248" t="n" s="4">
        <v>64.0</v>
      </c>
      <c r="K248" s="12">
        <f>J248/E248</f>
      </c>
      <c r="L248" s="12">
        <f>C248/B248</f>
      </c>
    </row>
    <row r="249">
      <c r="A249" t="s" s="8">
        <v>249</v>
      </c>
      <c r="B249" t="n" s="8">
        <v>330.0</v>
      </c>
      <c r="C249" t="n" s="8">
        <v>186.0</v>
      </c>
      <c r="D249" t="n" s="8">
        <v>0.0</v>
      </c>
      <c r="E249" t="n" s="8">
        <v>186.0</v>
      </c>
      <c r="F249" t="n" s="8">
        <v>9.0</v>
      </c>
      <c r="G249" s="13">
        <f>F249/E249</f>
      </c>
      <c r="H249" t="n" s="8">
        <v>63.0</v>
      </c>
      <c r="I249" s="13">
        <f>H249/E249</f>
      </c>
      <c r="J249" t="n" s="8">
        <v>114.0</v>
      </c>
      <c r="K249" s="13">
        <f>J249/E249</f>
      </c>
      <c r="L249" s="13">
        <f>C249/B249</f>
      </c>
    </row>
    <row r="250">
      <c r="A250" t="s" s="4">
        <v>250</v>
      </c>
      <c r="B250" t="n" s="4">
        <v>1302.0</v>
      </c>
      <c r="C250" t="n" s="4">
        <v>613.0</v>
      </c>
      <c r="D250" t="n" s="4">
        <v>4.0</v>
      </c>
      <c r="E250" t="n" s="4">
        <v>609.0</v>
      </c>
      <c r="F250" t="n" s="4">
        <v>33.0</v>
      </c>
      <c r="G250" s="12">
        <f>F250/E250</f>
      </c>
      <c r="H250" t="n" s="4">
        <v>281.0</v>
      </c>
      <c r="I250" s="12">
        <f>H250/E250</f>
      </c>
      <c r="J250" t="n" s="4">
        <v>295.0</v>
      </c>
      <c r="K250" s="12">
        <f>J250/E250</f>
      </c>
      <c r="L250" s="12">
        <f>C250/B250</f>
      </c>
    </row>
    <row r="251">
      <c r="A251" t="s" s="8">
        <v>251</v>
      </c>
      <c r="B251" t="n" s="8">
        <v>128.0</v>
      </c>
      <c r="C251" t="n" s="8">
        <v>99.0</v>
      </c>
      <c r="D251" t="n" s="8">
        <v>0.0</v>
      </c>
      <c r="E251" t="n" s="8">
        <v>99.0</v>
      </c>
      <c r="F251" t="n" s="8">
        <v>6.0</v>
      </c>
      <c r="G251" s="13">
        <f>F251/E251</f>
      </c>
      <c r="H251" t="n" s="8">
        <v>45.0</v>
      </c>
      <c r="I251" s="13">
        <f>H251/E251</f>
      </c>
      <c r="J251" t="n" s="8">
        <v>48.0</v>
      </c>
      <c r="K251" s="13">
        <f>J251/E251</f>
      </c>
      <c r="L251" s="13">
        <f>C251/B251</f>
      </c>
    </row>
    <row r="252">
      <c r="A252" t="s" s="4">
        <v>252</v>
      </c>
      <c r="B252" t="n" s="4">
        <v>383.0</v>
      </c>
      <c r="C252" t="n" s="4">
        <v>241.0</v>
      </c>
      <c r="D252" t="n" s="4">
        <v>0.0</v>
      </c>
      <c r="E252" t="n" s="4">
        <v>241.0</v>
      </c>
      <c r="F252" t="n" s="4">
        <v>3.0</v>
      </c>
      <c r="G252" s="12">
        <f>F252/E252</f>
      </c>
      <c r="H252" t="n" s="4">
        <v>118.0</v>
      </c>
      <c r="I252" s="12">
        <f>H252/E252</f>
      </c>
      <c r="J252" t="n" s="4">
        <v>120.0</v>
      </c>
      <c r="K252" s="12">
        <f>J252/E252</f>
      </c>
      <c r="L252" s="12">
        <f>C252/B252</f>
      </c>
    </row>
    <row r="253">
      <c r="A253" t="s" s="8">
        <v>253</v>
      </c>
      <c r="B253" t="n" s="8">
        <v>573.0</v>
      </c>
      <c r="C253" t="n" s="8">
        <v>377.0</v>
      </c>
      <c r="D253" t="n" s="8">
        <v>3.0</v>
      </c>
      <c r="E253" t="n" s="8">
        <v>374.0</v>
      </c>
      <c r="F253" t="n" s="8">
        <v>14.0</v>
      </c>
      <c r="G253" s="13">
        <f>F253/E253</f>
      </c>
      <c r="H253" t="n" s="8">
        <v>120.0</v>
      </c>
      <c r="I253" s="13">
        <f>H253/E253</f>
      </c>
      <c r="J253" t="n" s="8">
        <v>240.0</v>
      </c>
      <c r="K253" s="13">
        <f>J253/E253</f>
      </c>
      <c r="L253" s="13">
        <f>C253/B253</f>
      </c>
    </row>
    <row r="254">
      <c r="A254" t="s" s="4">
        <v>254</v>
      </c>
      <c r="B254" t="n" s="4">
        <v>357.0</v>
      </c>
      <c r="C254" t="n" s="4">
        <v>207.0</v>
      </c>
      <c r="D254" t="n" s="4">
        <v>0.0</v>
      </c>
      <c r="E254" t="n" s="4">
        <v>207.0</v>
      </c>
      <c r="F254" t="n" s="4">
        <v>15.0</v>
      </c>
      <c r="G254" s="12">
        <f>F254/E254</f>
      </c>
      <c r="H254" t="n" s="4">
        <v>67.0</v>
      </c>
      <c r="I254" s="12">
        <f>H254/E254</f>
      </c>
      <c r="J254" t="n" s="4">
        <v>125.0</v>
      </c>
      <c r="K254" s="12">
        <f>J254/E254</f>
      </c>
      <c r="L254" s="12">
        <f>C254/B254</f>
      </c>
    </row>
    <row r="255">
      <c r="A255" t="s" s="8">
        <v>255</v>
      </c>
      <c r="B255" t="n" s="8">
        <v>884.0</v>
      </c>
      <c r="C255" t="n" s="8">
        <v>539.0</v>
      </c>
      <c r="D255" t="n" s="8">
        <v>1.0</v>
      </c>
      <c r="E255" t="n" s="8">
        <v>538.0</v>
      </c>
      <c r="F255" t="n" s="8">
        <v>23.0</v>
      </c>
      <c r="G255" s="13">
        <f>F255/E255</f>
      </c>
      <c r="H255" t="n" s="8">
        <v>198.0</v>
      </c>
      <c r="I255" s="13">
        <f>H255/E255</f>
      </c>
      <c r="J255" t="n" s="8">
        <v>317.0</v>
      </c>
      <c r="K255" s="13">
        <f>J255/E255</f>
      </c>
      <c r="L255" s="13">
        <f>C255/B255</f>
      </c>
    </row>
    <row r="256">
      <c r="A256" t="s" s="9">
        <v>199</v>
      </c>
      <c r="B256" s="7">
        <f>SUM(B200:B255)</f>
      </c>
      <c r="C256" s="7">
        <f>SUM(C200:C255)</f>
      </c>
      <c r="D256" s="7">
        <f>SUM(D200:D255)</f>
      </c>
      <c r="E256" s="7">
        <f>SUM(E200:E255)</f>
      </c>
      <c r="F256" s="7">
        <f>SUM(F200:F255)</f>
      </c>
      <c r="G256" s="14">
        <f>F256/E256</f>
      </c>
      <c r="H256" s="7">
        <f>SUM(H200:H255)</f>
      </c>
      <c r="I256" s="14">
        <f>H256/E256</f>
      </c>
      <c r="J256" s="7">
        <f>SUM(J200:J255)</f>
      </c>
      <c r="K256" s="14">
        <f>J256/E256</f>
      </c>
      <c r="L256" s="14">
        <f>C256/B256</f>
      </c>
    </row>
    <row r="257"/>
    <row r="258">
      <c r="A258" t="s" s="7">
        <v>256</v>
      </c>
    </row>
    <row r="259">
      <c r="A259" t="s" s="4">
        <v>257</v>
      </c>
      <c r="B259" t="n" s="4">
        <v>178.0</v>
      </c>
      <c r="C259" t="n" s="4">
        <v>87.0</v>
      </c>
      <c r="D259" t="n" s="4">
        <v>0.0</v>
      </c>
      <c r="E259" t="n" s="4">
        <v>87.0</v>
      </c>
      <c r="F259" t="n" s="4">
        <v>2.0</v>
      </c>
      <c r="G259" s="12">
        <f>F259/E259</f>
      </c>
      <c r="H259" t="n" s="4">
        <v>31.0</v>
      </c>
      <c r="I259" s="12">
        <f>H259/E259</f>
      </c>
      <c r="J259" t="n" s="4">
        <v>54.0</v>
      </c>
      <c r="K259" s="12">
        <f>J259/E259</f>
      </c>
      <c r="L259" s="12">
        <f>C259/B259</f>
      </c>
    </row>
    <row r="260">
      <c r="A260" t="s" s="8">
        <v>258</v>
      </c>
      <c r="B260" t="n" s="8">
        <v>1708.0</v>
      </c>
      <c r="C260" t="n" s="8">
        <v>1071.0</v>
      </c>
      <c r="D260" t="n" s="8">
        <v>0.0</v>
      </c>
      <c r="E260" t="n" s="8">
        <v>1071.0</v>
      </c>
      <c r="F260" t="n" s="8">
        <v>80.0</v>
      </c>
      <c r="G260" s="13">
        <f>F260/E260</f>
      </c>
      <c r="H260" t="n" s="8">
        <v>415.0</v>
      </c>
      <c r="I260" s="13">
        <f>H260/E260</f>
      </c>
      <c r="J260" t="n" s="8">
        <v>576.0</v>
      </c>
      <c r="K260" s="13">
        <f>J260/E260</f>
      </c>
      <c r="L260" s="13">
        <f>C260/B260</f>
      </c>
    </row>
    <row r="261">
      <c r="A261" t="s" s="4">
        <v>259</v>
      </c>
      <c r="B261" t="n" s="4">
        <v>878.0</v>
      </c>
      <c r="C261" t="n" s="4">
        <v>539.0</v>
      </c>
      <c r="D261" t="n" s="4">
        <v>0.0</v>
      </c>
      <c r="E261" t="n" s="4">
        <v>539.0</v>
      </c>
      <c r="F261" t="n" s="4">
        <v>37.0</v>
      </c>
      <c r="G261" s="12">
        <f>F261/E261</f>
      </c>
      <c r="H261" t="n" s="4">
        <v>234.0</v>
      </c>
      <c r="I261" s="12">
        <f>H261/E261</f>
      </c>
      <c r="J261" t="n" s="4">
        <v>268.0</v>
      </c>
      <c r="K261" s="12">
        <f>J261/E261</f>
      </c>
      <c r="L261" s="12">
        <f>C261/B261</f>
      </c>
    </row>
    <row r="262">
      <c r="A262" t="s" s="8">
        <v>260</v>
      </c>
      <c r="B262" t="n" s="8">
        <v>1220.0</v>
      </c>
      <c r="C262" t="n" s="8">
        <v>675.0</v>
      </c>
      <c r="D262" t="n" s="8">
        <v>0.0</v>
      </c>
      <c r="E262" t="n" s="8">
        <v>675.0</v>
      </c>
      <c r="F262" t="n" s="8">
        <v>24.0</v>
      </c>
      <c r="G262" s="13">
        <f>F262/E262</f>
      </c>
      <c r="H262" t="n" s="8">
        <v>288.0</v>
      </c>
      <c r="I262" s="13">
        <f>H262/E262</f>
      </c>
      <c r="J262" t="n" s="8">
        <v>363.0</v>
      </c>
      <c r="K262" s="13">
        <f>J262/E262</f>
      </c>
      <c r="L262" s="13">
        <f>C262/B262</f>
      </c>
    </row>
    <row r="263">
      <c r="A263" t="s" s="4">
        <v>261</v>
      </c>
      <c r="B263" t="n" s="4">
        <v>493.0</v>
      </c>
      <c r="C263" t="n" s="4">
        <v>307.0</v>
      </c>
      <c r="D263" t="n" s="4">
        <v>0.0</v>
      </c>
      <c r="E263" t="n" s="4">
        <v>307.0</v>
      </c>
      <c r="F263" t="n" s="4">
        <v>9.0</v>
      </c>
      <c r="G263" s="12">
        <f>F263/E263</f>
      </c>
      <c r="H263" t="n" s="4">
        <v>120.0</v>
      </c>
      <c r="I263" s="12">
        <f>H263/E263</f>
      </c>
      <c r="J263" t="n" s="4">
        <v>178.0</v>
      </c>
      <c r="K263" s="12">
        <f>J263/E263</f>
      </c>
      <c r="L263" s="12">
        <f>C263/B263</f>
      </c>
    </row>
    <row r="264">
      <c r="A264" t="s" s="8">
        <v>262</v>
      </c>
      <c r="B264" t="n" s="8">
        <v>710.0</v>
      </c>
      <c r="C264" t="n" s="8">
        <v>433.0</v>
      </c>
      <c r="D264" t="n" s="8">
        <v>0.0</v>
      </c>
      <c r="E264" t="n" s="8">
        <v>433.0</v>
      </c>
      <c r="F264" t="n" s="8">
        <v>8.0</v>
      </c>
      <c r="G264" s="13">
        <f>F264/E264</f>
      </c>
      <c r="H264" t="n" s="8">
        <v>192.0</v>
      </c>
      <c r="I264" s="13">
        <f>H264/E264</f>
      </c>
      <c r="J264" t="n" s="8">
        <v>233.0</v>
      </c>
      <c r="K264" s="13">
        <f>J264/E264</f>
      </c>
      <c r="L264" s="13">
        <f>C264/B264</f>
      </c>
    </row>
    <row r="265">
      <c r="A265" t="s" s="4">
        <v>263</v>
      </c>
      <c r="B265" t="n" s="4">
        <v>313.0</v>
      </c>
      <c r="C265" t="n" s="4">
        <v>195.0</v>
      </c>
      <c r="D265" t="n" s="4">
        <v>19.0</v>
      </c>
      <c r="E265" t="n" s="4">
        <v>176.0</v>
      </c>
      <c r="F265" t="n" s="4">
        <v>3.0</v>
      </c>
      <c r="G265" s="12">
        <f>F265/E265</f>
      </c>
      <c r="H265" t="n" s="4">
        <v>63.0</v>
      </c>
      <c r="I265" s="12">
        <f>H265/E265</f>
      </c>
      <c r="J265" t="n" s="4">
        <v>110.0</v>
      </c>
      <c r="K265" s="12">
        <f>J265/E265</f>
      </c>
      <c r="L265" s="12">
        <f>C265/B265</f>
      </c>
    </row>
    <row r="266">
      <c r="A266" t="s" s="8">
        <v>264</v>
      </c>
      <c r="B266" t="n" s="8">
        <v>493.0</v>
      </c>
      <c r="C266" t="n" s="8">
        <v>294.0</v>
      </c>
      <c r="D266" t="n" s="8">
        <v>5.0</v>
      </c>
      <c r="E266" t="n" s="8">
        <v>289.0</v>
      </c>
      <c r="F266" t="n" s="8">
        <v>8.0</v>
      </c>
      <c r="G266" s="13">
        <f>F266/E266</f>
      </c>
      <c r="H266" t="n" s="8">
        <v>113.0</v>
      </c>
      <c r="I266" s="13">
        <f>H266/E266</f>
      </c>
      <c r="J266" t="n" s="8">
        <v>168.0</v>
      </c>
      <c r="K266" s="13">
        <f>J266/E266</f>
      </c>
      <c r="L266" s="13">
        <f>C266/B266</f>
      </c>
    </row>
    <row r="267">
      <c r="A267" t="s" s="4">
        <v>265</v>
      </c>
      <c r="B267" t="n" s="4">
        <v>254.0</v>
      </c>
      <c r="C267" t="n" s="4">
        <v>152.0</v>
      </c>
      <c r="D267" t="n" s="4">
        <v>0.0</v>
      </c>
      <c r="E267" t="n" s="4">
        <v>152.0</v>
      </c>
      <c r="F267" t="n" s="4">
        <v>4.0</v>
      </c>
      <c r="G267" s="12">
        <f>F267/E267</f>
      </c>
      <c r="H267" t="n" s="4">
        <v>55.0</v>
      </c>
      <c r="I267" s="12">
        <f>H267/E267</f>
      </c>
      <c r="J267" t="n" s="4">
        <v>93.0</v>
      </c>
      <c r="K267" s="12">
        <f>J267/E267</f>
      </c>
      <c r="L267" s="12">
        <f>C267/B267</f>
      </c>
    </row>
    <row r="268">
      <c r="A268" t="s" s="8">
        <v>266</v>
      </c>
      <c r="B268" t="n" s="8">
        <v>668.0</v>
      </c>
      <c r="C268" t="n" s="8">
        <v>359.0</v>
      </c>
      <c r="D268" t="n" s="8">
        <v>4.0</v>
      </c>
      <c r="E268" t="n" s="8">
        <v>355.0</v>
      </c>
      <c r="F268" t="n" s="8">
        <v>15.0</v>
      </c>
      <c r="G268" s="13">
        <f>F268/E268</f>
      </c>
      <c r="H268" t="n" s="8">
        <v>118.0</v>
      </c>
      <c r="I268" s="13">
        <f>H268/E268</f>
      </c>
      <c r="J268" t="n" s="8">
        <v>222.0</v>
      </c>
      <c r="K268" s="13">
        <f>J268/E268</f>
      </c>
      <c r="L268" s="13">
        <f>C268/B268</f>
      </c>
    </row>
    <row r="269">
      <c r="A269" t="s" s="4">
        <v>267</v>
      </c>
      <c r="B269" t="n" s="4">
        <v>488.0</v>
      </c>
      <c r="C269" t="n" s="4">
        <v>302.0</v>
      </c>
      <c r="D269" t="n" s="4">
        <v>0.0</v>
      </c>
      <c r="E269" t="n" s="4">
        <v>302.0</v>
      </c>
      <c r="F269" t="n" s="4">
        <v>5.0</v>
      </c>
      <c r="G269" s="12">
        <f>F269/E269</f>
      </c>
      <c r="H269" t="n" s="4">
        <v>121.0</v>
      </c>
      <c r="I269" s="12">
        <f>H269/E269</f>
      </c>
      <c r="J269" t="n" s="4">
        <v>176.0</v>
      </c>
      <c r="K269" s="12">
        <f>J269/E269</f>
      </c>
      <c r="L269" s="12">
        <f>C269/B269</f>
      </c>
    </row>
    <row r="270">
      <c r="A270" t="s" s="8">
        <v>268</v>
      </c>
      <c r="B270" t="n" s="8">
        <v>781.0</v>
      </c>
      <c r="C270" t="n" s="8">
        <v>497.0</v>
      </c>
      <c r="D270" t="n" s="8">
        <v>0.0</v>
      </c>
      <c r="E270" t="n" s="8">
        <v>497.0</v>
      </c>
      <c r="F270" t="n" s="8">
        <v>34.0</v>
      </c>
      <c r="G270" s="13">
        <f>F270/E270</f>
      </c>
      <c r="H270" t="n" s="8">
        <v>164.0</v>
      </c>
      <c r="I270" s="13">
        <f>H270/E270</f>
      </c>
      <c r="J270" t="n" s="8">
        <v>299.0</v>
      </c>
      <c r="K270" s="13">
        <f>J270/E270</f>
      </c>
      <c r="L270" s="13">
        <f>C270/B270</f>
      </c>
    </row>
    <row r="271">
      <c r="A271" t="s" s="4">
        <v>269</v>
      </c>
      <c r="B271" t="n" s="4">
        <v>317.0</v>
      </c>
      <c r="C271" t="n" s="4">
        <v>183.0</v>
      </c>
      <c r="D271" t="n" s="4">
        <v>0.0</v>
      </c>
      <c r="E271" t="n" s="4">
        <v>183.0</v>
      </c>
      <c r="F271" t="n" s="4">
        <v>11.0</v>
      </c>
      <c r="G271" s="12">
        <f>F271/E271</f>
      </c>
      <c r="H271" t="n" s="4">
        <v>75.0</v>
      </c>
      <c r="I271" s="12">
        <f>H271/E271</f>
      </c>
      <c r="J271" t="n" s="4">
        <v>97.0</v>
      </c>
      <c r="K271" s="12">
        <f>J271/E271</f>
      </c>
      <c r="L271" s="12">
        <f>C271/B271</f>
      </c>
    </row>
    <row r="272">
      <c r="A272" t="s" s="8">
        <v>270</v>
      </c>
      <c r="B272" t="n" s="8">
        <v>1468.0</v>
      </c>
      <c r="C272" t="n" s="8">
        <v>884.0</v>
      </c>
      <c r="D272" t="n" s="8">
        <v>0.0</v>
      </c>
      <c r="E272" t="n" s="8">
        <v>884.0</v>
      </c>
      <c r="F272" t="n" s="8">
        <v>22.0</v>
      </c>
      <c r="G272" s="13">
        <f>F272/E272</f>
      </c>
      <c r="H272" t="n" s="8">
        <v>331.0</v>
      </c>
      <c r="I272" s="13">
        <f>H272/E272</f>
      </c>
      <c r="J272" t="n" s="8">
        <v>531.0</v>
      </c>
      <c r="K272" s="13">
        <f>J272/E272</f>
      </c>
      <c r="L272" s="13">
        <f>C272/B272</f>
      </c>
    </row>
    <row r="273">
      <c r="A273" t="s" s="4">
        <v>271</v>
      </c>
      <c r="B273" t="n" s="4">
        <v>2056.0</v>
      </c>
      <c r="C273" t="n" s="4">
        <v>1025.0</v>
      </c>
      <c r="D273" t="n" s="4">
        <v>2.0</v>
      </c>
      <c r="E273" t="n" s="4">
        <v>1023.0</v>
      </c>
      <c r="F273" t="n" s="4">
        <v>57.0</v>
      </c>
      <c r="G273" s="12">
        <f>F273/E273</f>
      </c>
      <c r="H273" t="n" s="4">
        <v>373.0</v>
      </c>
      <c r="I273" s="12">
        <f>H273/E273</f>
      </c>
      <c r="J273" t="n" s="4">
        <v>593.0</v>
      </c>
      <c r="K273" s="12">
        <f>J273/E273</f>
      </c>
      <c r="L273" s="12">
        <f>C273/B273</f>
      </c>
    </row>
    <row r="274">
      <c r="A274" t="s" s="8">
        <v>272</v>
      </c>
      <c r="B274" t="n" s="8">
        <v>1360.0</v>
      </c>
      <c r="C274" t="n" s="8">
        <v>845.0</v>
      </c>
      <c r="D274" t="n" s="8">
        <v>2.0</v>
      </c>
      <c r="E274" t="n" s="8">
        <v>843.0</v>
      </c>
      <c r="F274" t="n" s="8">
        <v>22.0</v>
      </c>
      <c r="G274" s="13">
        <f>F274/E274</f>
      </c>
      <c r="H274" t="n" s="8">
        <v>284.0</v>
      </c>
      <c r="I274" s="13">
        <f>H274/E274</f>
      </c>
      <c r="J274" t="n" s="8">
        <v>537.0</v>
      </c>
      <c r="K274" s="13">
        <f>J274/E274</f>
      </c>
      <c r="L274" s="13">
        <f>C274/B274</f>
      </c>
    </row>
    <row r="275">
      <c r="A275" t="s" s="4">
        <v>273</v>
      </c>
      <c r="B275" t="n" s="4">
        <v>757.0</v>
      </c>
      <c r="C275" t="n" s="4">
        <v>438.0</v>
      </c>
      <c r="D275" t="n" s="4">
        <v>0.0</v>
      </c>
      <c r="E275" t="n" s="4">
        <v>438.0</v>
      </c>
      <c r="F275" t="n" s="4">
        <v>16.0</v>
      </c>
      <c r="G275" s="12">
        <f>F275/E275</f>
      </c>
      <c r="H275" t="n" s="4">
        <v>194.0</v>
      </c>
      <c r="I275" s="12">
        <f>H275/E275</f>
      </c>
      <c r="J275" t="n" s="4">
        <v>228.0</v>
      </c>
      <c r="K275" s="12">
        <f>J275/E275</f>
      </c>
      <c r="L275" s="12">
        <f>C275/B275</f>
      </c>
    </row>
    <row r="276">
      <c r="A276" t="s" s="8">
        <v>274</v>
      </c>
      <c r="B276" t="n" s="8">
        <v>695.0</v>
      </c>
      <c r="C276" t="n" s="8">
        <v>433.0</v>
      </c>
      <c r="D276" t="n" s="8">
        <v>0.0</v>
      </c>
      <c r="E276" t="n" s="8">
        <v>433.0</v>
      </c>
      <c r="F276" t="n" s="8">
        <v>13.0</v>
      </c>
      <c r="G276" s="13">
        <f>F276/E276</f>
      </c>
      <c r="H276" t="n" s="8">
        <v>169.0</v>
      </c>
      <c r="I276" s="13">
        <f>H276/E276</f>
      </c>
      <c r="J276" t="n" s="8">
        <v>251.0</v>
      </c>
      <c r="K276" s="13">
        <f>J276/E276</f>
      </c>
      <c r="L276" s="13">
        <f>C276/B276</f>
      </c>
    </row>
    <row r="277">
      <c r="A277" t="s" s="4">
        <v>275</v>
      </c>
      <c r="B277" t="n" s="4">
        <v>367.0</v>
      </c>
      <c r="C277" t="n" s="4">
        <v>225.0</v>
      </c>
      <c r="D277" t="n" s="4">
        <v>0.0</v>
      </c>
      <c r="E277" t="n" s="4">
        <v>225.0</v>
      </c>
      <c r="F277" t="n" s="4">
        <v>7.0</v>
      </c>
      <c r="G277" s="12">
        <f>F277/E277</f>
      </c>
      <c r="H277" t="n" s="4">
        <v>65.0</v>
      </c>
      <c r="I277" s="12">
        <f>H277/E277</f>
      </c>
      <c r="J277" t="n" s="4">
        <v>153.0</v>
      </c>
      <c r="K277" s="12">
        <f>J277/E277</f>
      </c>
      <c r="L277" s="12">
        <f>C277/B277</f>
      </c>
    </row>
    <row r="278">
      <c r="A278" t="s" s="8">
        <v>276</v>
      </c>
      <c r="B278" t="n" s="8">
        <v>436.0</v>
      </c>
      <c r="C278" t="n" s="8">
        <v>286.0</v>
      </c>
      <c r="D278" t="n" s="8">
        <v>0.0</v>
      </c>
      <c r="E278" t="n" s="8">
        <v>286.0</v>
      </c>
      <c r="F278" t="n" s="8">
        <v>12.0</v>
      </c>
      <c r="G278" s="13">
        <f>F278/E278</f>
      </c>
      <c r="H278" t="n" s="8">
        <v>104.0</v>
      </c>
      <c r="I278" s="13">
        <f>H278/E278</f>
      </c>
      <c r="J278" t="n" s="8">
        <v>170.0</v>
      </c>
      <c r="K278" s="13">
        <f>J278/E278</f>
      </c>
      <c r="L278" s="13">
        <f>C278/B278</f>
      </c>
    </row>
    <row r="279">
      <c r="A279" t="s" s="4">
        <v>277</v>
      </c>
      <c r="B279" t="n" s="4">
        <v>966.0</v>
      </c>
      <c r="C279" t="n" s="4">
        <v>596.0</v>
      </c>
      <c r="D279" t="n" s="4">
        <v>0.0</v>
      </c>
      <c r="E279" t="n" s="4">
        <v>596.0</v>
      </c>
      <c r="F279" t="n" s="4">
        <v>42.0</v>
      </c>
      <c r="G279" s="12">
        <f>F279/E279</f>
      </c>
      <c r="H279" t="n" s="4">
        <v>257.0</v>
      </c>
      <c r="I279" s="12">
        <f>H279/E279</f>
      </c>
      <c r="J279" t="n" s="4">
        <v>297.0</v>
      </c>
      <c r="K279" s="12">
        <f>J279/E279</f>
      </c>
      <c r="L279" s="12">
        <f>C279/B279</f>
      </c>
    </row>
    <row r="280">
      <c r="A280" t="s" s="8">
        <v>278</v>
      </c>
      <c r="B280" t="n" s="8">
        <v>1761.0</v>
      </c>
      <c r="C280" t="n" s="8">
        <v>1095.0</v>
      </c>
      <c r="D280" t="n" s="8">
        <v>0.0</v>
      </c>
      <c r="E280" t="n" s="8">
        <v>1095.0</v>
      </c>
      <c r="F280" t="n" s="8">
        <v>55.0</v>
      </c>
      <c r="G280" s="13">
        <f>F280/E280</f>
      </c>
      <c r="H280" t="n" s="8">
        <v>424.0</v>
      </c>
      <c r="I280" s="13">
        <f>H280/E280</f>
      </c>
      <c r="J280" t="n" s="8">
        <v>616.0</v>
      </c>
      <c r="K280" s="13">
        <f>J280/E280</f>
      </c>
      <c r="L280" s="13">
        <f>C280/B280</f>
      </c>
    </row>
    <row r="281">
      <c r="A281" t="s" s="4">
        <v>279</v>
      </c>
      <c r="B281" t="n" s="4">
        <v>1190.0</v>
      </c>
      <c r="C281" t="n" s="4">
        <v>744.0</v>
      </c>
      <c r="D281" t="n" s="4">
        <v>1.0</v>
      </c>
      <c r="E281" t="n" s="4">
        <v>743.0</v>
      </c>
      <c r="F281" t="n" s="4">
        <v>27.0</v>
      </c>
      <c r="G281" s="12">
        <f>F281/E281</f>
      </c>
      <c r="H281" t="n" s="4">
        <v>254.0</v>
      </c>
      <c r="I281" s="12">
        <f>H281/E281</f>
      </c>
      <c r="J281" t="n" s="4">
        <v>462.0</v>
      </c>
      <c r="K281" s="12">
        <f>J281/E281</f>
      </c>
      <c r="L281" s="12">
        <f>C281/B281</f>
      </c>
    </row>
    <row r="282">
      <c r="A282" t="s" s="8">
        <v>280</v>
      </c>
      <c r="B282" t="n" s="8">
        <v>845.0</v>
      </c>
      <c r="C282" t="n" s="8">
        <v>501.0</v>
      </c>
      <c r="D282" t="n" s="8">
        <v>0.0</v>
      </c>
      <c r="E282" t="n" s="8">
        <v>501.0</v>
      </c>
      <c r="F282" t="n" s="8">
        <v>14.0</v>
      </c>
      <c r="G282" s="13">
        <f>F282/E282</f>
      </c>
      <c r="H282" t="n" s="8">
        <v>176.0</v>
      </c>
      <c r="I282" s="13">
        <f>H282/E282</f>
      </c>
      <c r="J282" t="n" s="8">
        <v>311.0</v>
      </c>
      <c r="K282" s="13">
        <f>J282/E282</f>
      </c>
      <c r="L282" s="13">
        <f>C282/B282</f>
      </c>
    </row>
    <row r="283">
      <c r="A283" t="s" s="4">
        <v>281</v>
      </c>
      <c r="B283" t="n" s="4">
        <v>788.0</v>
      </c>
      <c r="C283" t="n" s="4">
        <v>456.0</v>
      </c>
      <c r="D283" t="n" s="4">
        <v>4.0</v>
      </c>
      <c r="E283" t="n" s="4">
        <v>452.0</v>
      </c>
      <c r="F283" t="n" s="4">
        <v>14.0</v>
      </c>
      <c r="G283" s="12">
        <f>F283/E283</f>
      </c>
      <c r="H283" t="n" s="4">
        <v>178.0</v>
      </c>
      <c r="I283" s="12">
        <f>H283/E283</f>
      </c>
      <c r="J283" t="n" s="4">
        <v>260.0</v>
      </c>
      <c r="K283" s="12">
        <f>J283/E283</f>
      </c>
      <c r="L283" s="12">
        <f>C283/B283</f>
      </c>
    </row>
    <row r="284">
      <c r="A284" t="s" s="8">
        <v>282</v>
      </c>
      <c r="B284" t="n" s="8">
        <v>697.0</v>
      </c>
      <c r="C284" t="n" s="8">
        <v>445.0</v>
      </c>
      <c r="D284" t="n" s="8">
        <v>0.0</v>
      </c>
      <c r="E284" t="n" s="8">
        <v>445.0</v>
      </c>
      <c r="F284" t="n" s="8">
        <v>18.0</v>
      </c>
      <c r="G284" s="13">
        <f>F284/E284</f>
      </c>
      <c r="H284" t="n" s="8">
        <v>167.0</v>
      </c>
      <c r="I284" s="13">
        <f>H284/E284</f>
      </c>
      <c r="J284" t="n" s="8">
        <v>260.0</v>
      </c>
      <c r="K284" s="13">
        <f>J284/E284</f>
      </c>
      <c r="L284" s="13">
        <f>C284/B284</f>
      </c>
    </row>
    <row r="285">
      <c r="A285" t="s" s="4">
        <v>283</v>
      </c>
      <c r="B285" t="n" s="4">
        <v>7303.0</v>
      </c>
      <c r="C285" t="n" s="4">
        <v>4051.0</v>
      </c>
      <c r="D285" t="n" s="4">
        <v>1.0</v>
      </c>
      <c r="E285" t="n" s="4">
        <v>4050.0</v>
      </c>
      <c r="F285" t="n" s="4">
        <v>279.0</v>
      </c>
      <c r="G285" s="12">
        <f>F285/E285</f>
      </c>
      <c r="H285" t="n" s="4">
        <v>1904.0</v>
      </c>
      <c r="I285" s="12">
        <f>H285/E285</f>
      </c>
      <c r="J285" t="n" s="4">
        <v>1867.0</v>
      </c>
      <c r="K285" s="12">
        <f>J285/E285</f>
      </c>
      <c r="L285" s="12">
        <f>C285/B285</f>
      </c>
    </row>
    <row r="286">
      <c r="A286" t="s" s="8">
        <v>284</v>
      </c>
      <c r="B286" t="n" s="8">
        <v>252.0</v>
      </c>
      <c r="C286" t="n" s="8">
        <v>159.0</v>
      </c>
      <c r="D286" t="n" s="8">
        <v>0.0</v>
      </c>
      <c r="E286" t="n" s="8">
        <v>159.0</v>
      </c>
      <c r="F286" t="n" s="8">
        <v>5.0</v>
      </c>
      <c r="G286" s="13">
        <f>F286/E286</f>
      </c>
      <c r="H286" t="n" s="8">
        <v>65.0</v>
      </c>
      <c r="I286" s="13">
        <f>H286/E286</f>
      </c>
      <c r="J286" t="n" s="8">
        <v>89.0</v>
      </c>
      <c r="K286" s="13">
        <f>J286/E286</f>
      </c>
      <c r="L286" s="13">
        <f>C286/B286</f>
      </c>
    </row>
    <row r="287">
      <c r="A287" t="s" s="4">
        <v>285</v>
      </c>
      <c r="B287" t="n" s="4">
        <v>722.0</v>
      </c>
      <c r="C287" t="n" s="4">
        <v>436.0</v>
      </c>
      <c r="D287" t="n" s="4">
        <v>0.0</v>
      </c>
      <c r="E287" t="n" s="4">
        <v>436.0</v>
      </c>
      <c r="F287" t="n" s="4">
        <v>17.0</v>
      </c>
      <c r="G287" s="12">
        <f>F287/E287</f>
      </c>
      <c r="H287" t="n" s="4">
        <v>165.0</v>
      </c>
      <c r="I287" s="12">
        <f>H287/E287</f>
      </c>
      <c r="J287" t="n" s="4">
        <v>254.0</v>
      </c>
      <c r="K287" s="12">
        <f>J287/E287</f>
      </c>
      <c r="L287" s="12">
        <f>C287/B287</f>
      </c>
    </row>
    <row r="288">
      <c r="A288" t="s" s="8">
        <v>286</v>
      </c>
      <c r="B288" t="n" s="8">
        <v>907.0</v>
      </c>
      <c r="C288" t="n" s="8">
        <v>10.0</v>
      </c>
      <c r="D288" t="n" s="8">
        <v>3.0</v>
      </c>
      <c r="E288" t="n" s="8">
        <v>7.0</v>
      </c>
      <c r="F288" t="n" s="8">
        <v>0.0</v>
      </c>
      <c r="G288" s="13">
        <f>F288/E288</f>
      </c>
      <c r="H288" t="n" s="8">
        <v>6.0</v>
      </c>
      <c r="I288" s="13">
        <f>H288/E288</f>
      </c>
      <c r="J288" t="n" s="8">
        <v>1.0</v>
      </c>
      <c r="K288" s="13">
        <f>J288/E288</f>
      </c>
      <c r="L288" s="13">
        <f>C288/B288</f>
      </c>
    </row>
    <row r="289">
      <c r="A289" t="s" s="4">
        <v>287</v>
      </c>
      <c r="B289" t="n" s="4">
        <v>361.0</v>
      </c>
      <c r="C289" t="n" s="4">
        <v>208.0</v>
      </c>
      <c r="D289" t="n" s="4">
        <v>0.0</v>
      </c>
      <c r="E289" t="n" s="4">
        <v>208.0</v>
      </c>
      <c r="F289" t="n" s="4">
        <v>13.0</v>
      </c>
      <c r="G289" s="12">
        <f>F289/E289</f>
      </c>
      <c r="H289" t="n" s="4">
        <v>88.0</v>
      </c>
      <c r="I289" s="12">
        <f>H289/E289</f>
      </c>
      <c r="J289" t="n" s="4">
        <v>107.0</v>
      </c>
      <c r="K289" s="12">
        <f>J289/E289</f>
      </c>
      <c r="L289" s="12">
        <f>C289/B289</f>
      </c>
    </row>
    <row r="290">
      <c r="A290" t="s" s="8">
        <v>288</v>
      </c>
      <c r="B290" t="n" s="8">
        <v>346.0</v>
      </c>
      <c r="C290" t="n" s="8">
        <v>197.0</v>
      </c>
      <c r="D290" t="n" s="8">
        <v>0.0</v>
      </c>
      <c r="E290" t="n" s="8">
        <v>197.0</v>
      </c>
      <c r="F290" t="n" s="8">
        <v>14.0</v>
      </c>
      <c r="G290" s="13">
        <f>F290/E290</f>
      </c>
      <c r="H290" t="n" s="8">
        <v>64.0</v>
      </c>
      <c r="I290" s="13">
        <f>H290/E290</f>
      </c>
      <c r="J290" t="n" s="8">
        <v>119.0</v>
      </c>
      <c r="K290" s="13">
        <f>J290/E290</f>
      </c>
      <c r="L290" s="13">
        <f>C290/B290</f>
      </c>
    </row>
    <row r="291">
      <c r="A291" t="s" s="4">
        <v>289</v>
      </c>
      <c r="B291" t="n" s="4">
        <v>334.0</v>
      </c>
      <c r="C291" t="n" s="4">
        <v>201.0</v>
      </c>
      <c r="D291" t="n" s="4">
        <v>0.0</v>
      </c>
      <c r="E291" t="n" s="4">
        <v>201.0</v>
      </c>
      <c r="F291" t="n" s="4">
        <v>6.0</v>
      </c>
      <c r="G291" s="12">
        <f>F291/E291</f>
      </c>
      <c r="H291" t="n" s="4">
        <v>82.0</v>
      </c>
      <c r="I291" s="12">
        <f>H291/E291</f>
      </c>
      <c r="J291" t="n" s="4">
        <v>113.0</v>
      </c>
      <c r="K291" s="12">
        <f>J291/E291</f>
      </c>
      <c r="L291" s="12">
        <f>C291/B291</f>
      </c>
    </row>
    <row r="292">
      <c r="A292" t="s" s="8">
        <v>290</v>
      </c>
      <c r="B292" t="n" s="8">
        <v>1094.0</v>
      </c>
      <c r="C292" t="n" s="8">
        <v>643.0</v>
      </c>
      <c r="D292" t="n" s="8">
        <v>0.0</v>
      </c>
      <c r="E292" t="n" s="8">
        <v>643.0</v>
      </c>
      <c r="F292" t="n" s="8">
        <v>38.0</v>
      </c>
      <c r="G292" s="13">
        <f>F292/E292</f>
      </c>
      <c r="H292" t="n" s="8">
        <v>258.0</v>
      </c>
      <c r="I292" s="13">
        <f>H292/E292</f>
      </c>
      <c r="J292" t="n" s="8">
        <v>347.0</v>
      </c>
      <c r="K292" s="13">
        <f>J292/E292</f>
      </c>
      <c r="L292" s="13">
        <f>C292/B292</f>
      </c>
    </row>
    <row r="293">
      <c r="A293" t="s" s="4">
        <v>291</v>
      </c>
      <c r="B293" t="n" s="4">
        <v>1627.0</v>
      </c>
      <c r="C293" t="n" s="4">
        <v>922.0</v>
      </c>
      <c r="D293" t="n" s="4">
        <v>0.0</v>
      </c>
      <c r="E293" t="n" s="4">
        <v>922.0</v>
      </c>
      <c r="F293" t="n" s="4">
        <v>54.0</v>
      </c>
      <c r="G293" s="12">
        <f>F293/E293</f>
      </c>
      <c r="H293" t="n" s="4">
        <v>397.0</v>
      </c>
      <c r="I293" s="12">
        <f>H293/E293</f>
      </c>
      <c r="J293" t="n" s="4">
        <v>471.0</v>
      </c>
      <c r="K293" s="12">
        <f>J293/E293</f>
      </c>
      <c r="L293" s="12">
        <f>C293/B293</f>
      </c>
    </row>
    <row r="294">
      <c r="A294" t="s" s="8">
        <v>292</v>
      </c>
      <c r="B294" t="n" s="8">
        <v>11365.0</v>
      </c>
      <c r="C294" t="n" s="8">
        <v>6122.0</v>
      </c>
      <c r="D294" t="n" s="8">
        <v>4.0</v>
      </c>
      <c r="E294" t="n" s="8">
        <v>6118.0</v>
      </c>
      <c r="F294" t="n" s="8">
        <v>379.0</v>
      </c>
      <c r="G294" s="13">
        <f>F294/E294</f>
      </c>
      <c r="H294" t="n" s="8">
        <v>3156.0</v>
      </c>
      <c r="I294" s="13">
        <f>H294/E294</f>
      </c>
      <c r="J294" t="n" s="8">
        <v>2583.0</v>
      </c>
      <c r="K294" s="13">
        <f>J294/E294</f>
      </c>
      <c r="L294" s="13">
        <f>C294/B294</f>
      </c>
    </row>
    <row r="295">
      <c r="A295" t="s" s="4">
        <v>293</v>
      </c>
      <c r="B295" t="n" s="4">
        <v>911.0</v>
      </c>
      <c r="C295" t="n" s="4">
        <v>577.0</v>
      </c>
      <c r="D295" t="n" s="4">
        <v>0.0</v>
      </c>
      <c r="E295" t="n" s="4">
        <v>577.0</v>
      </c>
      <c r="F295" t="n" s="4">
        <v>22.0</v>
      </c>
      <c r="G295" s="12">
        <f>F295/E295</f>
      </c>
      <c r="H295" t="n" s="4">
        <v>246.0</v>
      </c>
      <c r="I295" s="12">
        <f>H295/E295</f>
      </c>
      <c r="J295" t="n" s="4">
        <v>309.0</v>
      </c>
      <c r="K295" s="12">
        <f>J295/E295</f>
      </c>
      <c r="L295" s="12">
        <f>C295/B295</f>
      </c>
    </row>
    <row r="296">
      <c r="A296" t="s" s="8">
        <v>294</v>
      </c>
      <c r="B296" t="n" s="8">
        <v>2428.0</v>
      </c>
      <c r="C296" t="n" s="8">
        <v>1510.0</v>
      </c>
      <c r="D296" t="n" s="8">
        <v>3.0</v>
      </c>
      <c r="E296" t="n" s="8">
        <v>1507.0</v>
      </c>
      <c r="F296" t="n" s="8">
        <v>85.0</v>
      </c>
      <c r="G296" s="13">
        <f>F296/E296</f>
      </c>
      <c r="H296" t="n" s="8">
        <v>671.0</v>
      </c>
      <c r="I296" s="13">
        <f>H296/E296</f>
      </c>
      <c r="J296" t="n" s="8">
        <v>751.0</v>
      </c>
      <c r="K296" s="13">
        <f>J296/E296</f>
      </c>
      <c r="L296" s="13">
        <f>C296/B296</f>
      </c>
    </row>
    <row r="297">
      <c r="A297" t="s" s="4">
        <v>295</v>
      </c>
      <c r="B297" t="n" s="4">
        <v>3192.0</v>
      </c>
      <c r="C297" t="n" s="4">
        <v>1739.0</v>
      </c>
      <c r="D297" t="n" s="4">
        <v>0.0</v>
      </c>
      <c r="E297" t="n" s="4">
        <v>1739.0</v>
      </c>
      <c r="F297" t="n" s="4">
        <v>96.0</v>
      </c>
      <c r="G297" s="12">
        <f>F297/E297</f>
      </c>
      <c r="H297" t="n" s="4">
        <v>810.0</v>
      </c>
      <c r="I297" s="12">
        <f>H297/E297</f>
      </c>
      <c r="J297" t="n" s="4">
        <v>833.0</v>
      </c>
      <c r="K297" s="12">
        <f>J297/E297</f>
      </c>
      <c r="L297" s="12">
        <f>C297/B297</f>
      </c>
    </row>
    <row r="298">
      <c r="A298" t="s" s="8">
        <v>296</v>
      </c>
      <c r="B298" t="n" s="8">
        <v>1674.0</v>
      </c>
      <c r="C298" t="n" s="8">
        <v>850.0</v>
      </c>
      <c r="D298" t="n" s="8">
        <v>2.0</v>
      </c>
      <c r="E298" t="n" s="8">
        <v>848.0</v>
      </c>
      <c r="F298" t="n" s="8">
        <v>66.0</v>
      </c>
      <c r="G298" s="13">
        <f>F298/E298</f>
      </c>
      <c r="H298" t="n" s="8">
        <v>400.0</v>
      </c>
      <c r="I298" s="13">
        <f>H298/E298</f>
      </c>
      <c r="J298" t="n" s="8">
        <v>382.0</v>
      </c>
      <c r="K298" s="13">
        <f>J298/E298</f>
      </c>
      <c r="L298" s="13">
        <f>C298/B298</f>
      </c>
    </row>
    <row r="299">
      <c r="A299" t="s" s="4">
        <v>297</v>
      </c>
      <c r="B299" t="n" s="4">
        <v>677.0</v>
      </c>
      <c r="C299" t="n" s="4">
        <v>373.0</v>
      </c>
      <c r="D299" t="n" s="4">
        <v>0.0</v>
      </c>
      <c r="E299" t="n" s="4">
        <v>373.0</v>
      </c>
      <c r="F299" t="n" s="4">
        <v>8.0</v>
      </c>
      <c r="G299" s="12">
        <f>F299/E299</f>
      </c>
      <c r="H299" t="n" s="4">
        <v>168.0</v>
      </c>
      <c r="I299" s="12">
        <f>H299/E299</f>
      </c>
      <c r="J299" t="n" s="4">
        <v>197.0</v>
      </c>
      <c r="K299" s="12">
        <f>J299/E299</f>
      </c>
      <c r="L299" s="12">
        <f>C299/B299</f>
      </c>
    </row>
    <row r="300">
      <c r="A300" t="s" s="8">
        <v>298</v>
      </c>
      <c r="B300" t="n" s="8">
        <v>359.0</v>
      </c>
      <c r="C300" t="n" s="8">
        <v>216.0</v>
      </c>
      <c r="D300" t="n" s="8">
        <v>0.0</v>
      </c>
      <c r="E300" t="n" s="8">
        <v>216.0</v>
      </c>
      <c r="F300" t="n" s="8">
        <v>18.0</v>
      </c>
      <c r="G300" s="13">
        <f>F300/E300</f>
      </c>
      <c r="H300" t="n" s="8">
        <v>74.0</v>
      </c>
      <c r="I300" s="13">
        <f>H300/E300</f>
      </c>
      <c r="J300" t="n" s="8">
        <v>124.0</v>
      </c>
      <c r="K300" s="13">
        <f>J300/E300</f>
      </c>
      <c r="L300" s="13">
        <f>C300/B300</f>
      </c>
    </row>
    <row r="301">
      <c r="A301" t="s" s="4">
        <v>299</v>
      </c>
      <c r="B301" t="n" s="4">
        <v>923.0</v>
      </c>
      <c r="C301" t="n" s="4">
        <v>576.0</v>
      </c>
      <c r="D301" t="n" s="4">
        <v>5.0</v>
      </c>
      <c r="E301" t="n" s="4">
        <v>571.0</v>
      </c>
      <c r="F301" t="n" s="4">
        <v>20.0</v>
      </c>
      <c r="G301" s="12">
        <f>F301/E301</f>
      </c>
      <c r="H301" t="n" s="4">
        <v>205.0</v>
      </c>
      <c r="I301" s="12">
        <f>H301/E301</f>
      </c>
      <c r="J301" t="n" s="4">
        <v>346.0</v>
      </c>
      <c r="K301" s="12">
        <f>J301/E301</f>
      </c>
      <c r="L301" s="12">
        <f>C301/B301</f>
      </c>
    </row>
    <row r="302">
      <c r="A302" t="s" s="8">
        <v>300</v>
      </c>
      <c r="B302" t="n" s="8">
        <v>131.0</v>
      </c>
      <c r="C302" t="n" s="8">
        <v>79.0</v>
      </c>
      <c r="D302" t="n" s="8">
        <v>0.0</v>
      </c>
      <c r="E302" t="n" s="8">
        <v>79.0</v>
      </c>
      <c r="F302" t="n" s="8">
        <v>6.0</v>
      </c>
      <c r="G302" s="13">
        <f>F302/E302</f>
      </c>
      <c r="H302" t="n" s="8">
        <v>19.0</v>
      </c>
      <c r="I302" s="13">
        <f>H302/E302</f>
      </c>
      <c r="J302" t="n" s="8">
        <v>54.0</v>
      </c>
      <c r="K302" s="13">
        <f>J302/E302</f>
      </c>
      <c r="L302" s="13">
        <f>C302/B302</f>
      </c>
    </row>
    <row r="303">
      <c r="A303" t="s" s="4">
        <v>301</v>
      </c>
      <c r="B303" t="n" s="4">
        <v>908.0</v>
      </c>
      <c r="C303" t="n" s="4">
        <v>598.0</v>
      </c>
      <c r="D303" t="n" s="4">
        <v>0.0</v>
      </c>
      <c r="E303" t="n" s="4">
        <v>598.0</v>
      </c>
      <c r="F303" t="n" s="4">
        <v>35.0</v>
      </c>
      <c r="G303" s="12">
        <f>F303/E303</f>
      </c>
      <c r="H303" t="n" s="4">
        <v>226.0</v>
      </c>
      <c r="I303" s="12">
        <f>H303/E303</f>
      </c>
      <c r="J303" t="n" s="4">
        <v>337.0</v>
      </c>
      <c r="K303" s="12">
        <f>J303/E303</f>
      </c>
      <c r="L303" s="12">
        <f>C303/B303</f>
      </c>
    </row>
    <row r="304">
      <c r="A304" t="s" s="8">
        <v>302</v>
      </c>
      <c r="B304" t="n" s="8">
        <v>665.0</v>
      </c>
      <c r="C304" t="n" s="8">
        <v>386.0</v>
      </c>
      <c r="D304" t="n" s="8">
        <v>0.0</v>
      </c>
      <c r="E304" t="n" s="8">
        <v>386.0</v>
      </c>
      <c r="F304" t="n" s="8">
        <v>22.0</v>
      </c>
      <c r="G304" s="13">
        <f>F304/E304</f>
      </c>
      <c r="H304" t="n" s="8">
        <v>143.0</v>
      </c>
      <c r="I304" s="13">
        <f>H304/E304</f>
      </c>
      <c r="J304" t="n" s="8">
        <v>221.0</v>
      </c>
      <c r="K304" s="13">
        <f>J304/E304</f>
      </c>
      <c r="L304" s="13">
        <f>C304/B304</f>
      </c>
    </row>
    <row r="305">
      <c r="A305" t="s" s="4">
        <v>303</v>
      </c>
      <c r="B305" t="n" s="4">
        <v>237.0</v>
      </c>
      <c r="C305" t="n" s="4">
        <v>149.0</v>
      </c>
      <c r="D305" t="n" s="4">
        <v>0.0</v>
      </c>
      <c r="E305" t="n" s="4">
        <v>149.0</v>
      </c>
      <c r="F305" t="n" s="4">
        <v>9.0</v>
      </c>
      <c r="G305" s="12">
        <f>F305/E305</f>
      </c>
      <c r="H305" t="n" s="4">
        <v>53.0</v>
      </c>
      <c r="I305" s="12">
        <f>H305/E305</f>
      </c>
      <c r="J305" t="n" s="4">
        <v>87.0</v>
      </c>
      <c r="K305" s="12">
        <f>J305/E305</f>
      </c>
      <c r="L305" s="12">
        <f>C305/B305</f>
      </c>
    </row>
    <row r="306">
      <c r="A306" t="s" s="9">
        <v>256</v>
      </c>
      <c r="B306" s="7">
        <f>SUM(B259:B305)</f>
      </c>
      <c r="C306" s="7">
        <f>SUM(C259:C305)</f>
      </c>
      <c r="D306" s="7">
        <f>SUM(D259:D305)</f>
      </c>
      <c r="E306" s="7">
        <f>SUM(E259:E305)</f>
      </c>
      <c r="F306" s="7">
        <f>SUM(F259:F305)</f>
      </c>
      <c r="G306" s="14">
        <f>F306/E306</f>
      </c>
      <c r="H306" s="7">
        <f>SUM(H259:H305)</f>
      </c>
      <c r="I306" s="14">
        <f>H306/E306</f>
      </c>
      <c r="J306" s="7">
        <f>SUM(J259:J305)</f>
      </c>
      <c r="K306" s="14">
        <f>J306/E306</f>
      </c>
      <c r="L306" s="14">
        <f>C306/B306</f>
      </c>
    </row>
    <row r="307"/>
    <row r="308">
      <c r="A308" t="s" s="7">
        <v>304</v>
      </c>
    </row>
    <row r="309">
      <c r="A309" t="s" s="4">
        <v>305</v>
      </c>
      <c r="B309" t="n" s="4">
        <v>5702.0</v>
      </c>
      <c r="C309" t="n" s="4">
        <v>2955.0</v>
      </c>
      <c r="D309" t="n" s="4">
        <v>3.0</v>
      </c>
      <c r="E309" t="n" s="4">
        <v>2952.0</v>
      </c>
      <c r="F309" t="n" s="4">
        <v>158.0</v>
      </c>
      <c r="G309" s="12">
        <f>F309/E309</f>
      </c>
      <c r="H309" t="n" s="4">
        <v>1539.0</v>
      </c>
      <c r="I309" s="12">
        <f>H309/E309</f>
      </c>
      <c r="J309" t="n" s="4">
        <v>1255.0</v>
      </c>
      <c r="K309" s="12">
        <f>J309/E309</f>
      </c>
      <c r="L309" s="12">
        <f>C309/B309</f>
      </c>
    </row>
    <row r="310">
      <c r="A310" t="s" s="8">
        <v>306</v>
      </c>
      <c r="B310" t="n" s="8">
        <v>3694.0</v>
      </c>
      <c r="C310" t="n" s="8">
        <v>1502.0</v>
      </c>
      <c r="D310" t="n" s="8">
        <v>3.0</v>
      </c>
      <c r="E310" t="n" s="8">
        <v>1499.0</v>
      </c>
      <c r="F310" t="n" s="8">
        <v>65.0</v>
      </c>
      <c r="G310" s="13">
        <f>F310/E310</f>
      </c>
      <c r="H310" t="n" s="8">
        <v>962.0</v>
      </c>
      <c r="I310" s="13">
        <f>H310/E310</f>
      </c>
      <c r="J310" t="n" s="8">
        <v>472.0</v>
      </c>
      <c r="K310" s="13">
        <f>J310/E310</f>
      </c>
      <c r="L310" s="13">
        <f>C310/B310</f>
      </c>
    </row>
    <row r="311">
      <c r="A311" t="s" s="4">
        <v>307</v>
      </c>
      <c r="B311" t="n" s="4">
        <v>4934.0</v>
      </c>
      <c r="C311" t="n" s="4">
        <v>2281.0</v>
      </c>
      <c r="D311" t="n" s="4">
        <v>3.0</v>
      </c>
      <c r="E311" t="n" s="4">
        <v>2278.0</v>
      </c>
      <c r="F311" t="n" s="4">
        <v>131.0</v>
      </c>
      <c r="G311" s="12">
        <f>F311/E311</f>
      </c>
      <c r="H311" t="n" s="4">
        <v>1242.0</v>
      </c>
      <c r="I311" s="12">
        <f>H311/E311</f>
      </c>
      <c r="J311" t="n" s="4">
        <v>905.0</v>
      </c>
      <c r="K311" s="12">
        <f>J311/E311</f>
      </c>
      <c r="L311" s="12">
        <f>C311/B311</f>
      </c>
    </row>
    <row r="312">
      <c r="A312" t="s" s="8">
        <v>308</v>
      </c>
      <c r="B312" t="n" s="8">
        <v>5742.0</v>
      </c>
      <c r="C312" t="n" s="8">
        <v>2940.0</v>
      </c>
      <c r="D312" t="n" s="8">
        <v>0.0</v>
      </c>
      <c r="E312" t="n" s="8">
        <v>2940.0</v>
      </c>
      <c r="F312" t="n" s="8">
        <v>163.0</v>
      </c>
      <c r="G312" s="13">
        <f>F312/E312</f>
      </c>
      <c r="H312" t="n" s="8">
        <v>1576.0</v>
      </c>
      <c r="I312" s="13">
        <f>H312/E312</f>
      </c>
      <c r="J312" t="n" s="8">
        <v>1201.0</v>
      </c>
      <c r="K312" s="13">
        <f>J312/E312</f>
      </c>
      <c r="L312" s="13">
        <f>C312/B312</f>
      </c>
    </row>
    <row r="313">
      <c r="A313" t="s" s="4">
        <v>309</v>
      </c>
      <c r="B313" t="n" s="4">
        <v>6009.0</v>
      </c>
      <c r="C313" t="n" s="4">
        <v>3066.0</v>
      </c>
      <c r="D313" t="n" s="4">
        <v>2.0</v>
      </c>
      <c r="E313" t="n" s="4">
        <v>3064.0</v>
      </c>
      <c r="F313" t="n" s="4">
        <v>182.0</v>
      </c>
      <c r="G313" s="12">
        <f>F313/E313</f>
      </c>
      <c r="H313" t="n" s="4">
        <v>1775.0</v>
      </c>
      <c r="I313" s="12">
        <f>H313/E313</f>
      </c>
      <c r="J313" t="n" s="4">
        <v>1107.0</v>
      </c>
      <c r="K313" s="12">
        <f>J313/E313</f>
      </c>
      <c r="L313" s="12">
        <f>C313/B313</f>
      </c>
    </row>
    <row r="314">
      <c r="A314" t="s" s="8">
        <v>310</v>
      </c>
      <c r="B314" t="n" s="8">
        <v>8827.0</v>
      </c>
      <c r="C314" t="n" s="8">
        <v>3886.0</v>
      </c>
      <c r="D314" t="n" s="8">
        <v>4.0</v>
      </c>
      <c r="E314" t="n" s="8">
        <v>3882.0</v>
      </c>
      <c r="F314" t="n" s="8">
        <v>185.0</v>
      </c>
      <c r="G314" s="13">
        <f>F314/E314</f>
      </c>
      <c r="H314" t="n" s="8">
        <v>2472.0</v>
      </c>
      <c r="I314" s="13">
        <f>H314/E314</f>
      </c>
      <c r="J314" t="n" s="8">
        <v>1225.0</v>
      </c>
      <c r="K314" s="13">
        <f>J314/E314</f>
      </c>
      <c r="L314" s="13">
        <f>C314/B314</f>
      </c>
    </row>
    <row r="315">
      <c r="A315" t="s" s="4">
        <v>311</v>
      </c>
      <c r="B315" t="n" s="4">
        <v>2291.0</v>
      </c>
      <c r="C315" t="n" s="4">
        <v>1511.0</v>
      </c>
      <c r="D315" t="n" s="4">
        <v>1.0</v>
      </c>
      <c r="E315" t="n" s="4">
        <v>1510.0</v>
      </c>
      <c r="F315" t="n" s="4">
        <v>83.0</v>
      </c>
      <c r="G315" s="12">
        <f>F315/E315</f>
      </c>
      <c r="H315" t="n" s="4">
        <v>610.0</v>
      </c>
      <c r="I315" s="12">
        <f>H315/E315</f>
      </c>
      <c r="J315" t="n" s="4">
        <v>817.0</v>
      </c>
      <c r="K315" s="12">
        <f>J315/E315</f>
      </c>
      <c r="L315" s="12">
        <f>C315/B315</f>
      </c>
    </row>
    <row r="316">
      <c r="A316" t="s" s="8">
        <v>312</v>
      </c>
      <c r="B316" t="n" s="8">
        <v>554.0</v>
      </c>
      <c r="C316" t="n" s="8">
        <v>278.0</v>
      </c>
      <c r="D316" t="n" s="8">
        <v>0.0</v>
      </c>
      <c r="E316" t="n" s="8">
        <v>278.0</v>
      </c>
      <c r="F316" t="n" s="8">
        <v>10.0</v>
      </c>
      <c r="G316" s="13">
        <f>F316/E316</f>
      </c>
      <c r="H316" t="n" s="8">
        <v>127.0</v>
      </c>
      <c r="I316" s="13">
        <f>H316/E316</f>
      </c>
      <c r="J316" t="n" s="8">
        <v>141.0</v>
      </c>
      <c r="K316" s="13">
        <f>J316/E316</f>
      </c>
      <c r="L316" s="13">
        <f>C316/B316</f>
      </c>
    </row>
    <row r="317">
      <c r="A317" t="s" s="9">
        <v>304</v>
      </c>
      <c r="B317" s="7">
        <f>SUM(B309:B316)</f>
      </c>
      <c r="C317" s="7">
        <f>SUM(C309:C316)</f>
      </c>
      <c r="D317" s="7">
        <f>SUM(D309:D316)</f>
      </c>
      <c r="E317" s="7">
        <f>SUM(E309:E316)</f>
      </c>
      <c r="F317" s="7">
        <f>SUM(F309:F316)</f>
      </c>
      <c r="G317" s="14">
        <f>F317/E317</f>
      </c>
      <c r="H317" s="7">
        <f>SUM(H309:H316)</f>
      </c>
      <c r="I317" s="14">
        <f>H317/E317</f>
      </c>
      <c r="J317" s="7">
        <f>SUM(J309:J316)</f>
      </c>
      <c r="K317" s="14">
        <f>J317/E317</f>
      </c>
      <c r="L317" s="14">
        <f>C317/B317</f>
      </c>
    </row>
    <row r="318"/>
    <row r="319">
      <c r="A319" t="s" s="7">
        <v>313</v>
      </c>
    </row>
    <row r="320">
      <c r="A320" t="s" s="4">
        <v>314</v>
      </c>
      <c r="B320" t="n" s="4">
        <v>7789.0</v>
      </c>
      <c r="C320" t="n" s="4">
        <v>4703.0</v>
      </c>
      <c r="D320" t="n" s="4">
        <v>1.0</v>
      </c>
      <c r="E320" t="n" s="4">
        <v>4702.0</v>
      </c>
      <c r="F320" t="n" s="4">
        <v>311.0</v>
      </c>
      <c r="G320" s="12">
        <f>F320/E320</f>
      </c>
      <c r="H320" t="n" s="4">
        <v>1850.0</v>
      </c>
      <c r="I320" s="12">
        <f>H320/E320</f>
      </c>
      <c r="J320" t="n" s="4">
        <v>2541.0</v>
      </c>
      <c r="K320" s="12">
        <f>J320/E320</f>
      </c>
      <c r="L320" s="12">
        <f>C320/B320</f>
      </c>
    </row>
    <row r="321">
      <c r="A321" t="s" s="8">
        <v>315</v>
      </c>
      <c r="B321" t="n" s="8">
        <v>2131.0</v>
      </c>
      <c r="C321" t="n" s="8">
        <v>1327.0</v>
      </c>
      <c r="D321" t="n" s="8">
        <v>0.0</v>
      </c>
      <c r="E321" t="n" s="8">
        <v>1327.0</v>
      </c>
      <c r="F321" t="n" s="8">
        <v>84.0</v>
      </c>
      <c r="G321" s="13">
        <f>F321/E321</f>
      </c>
      <c r="H321" t="n" s="8">
        <v>566.0</v>
      </c>
      <c r="I321" s="13">
        <f>H321/E321</f>
      </c>
      <c r="J321" t="n" s="8">
        <v>677.0</v>
      </c>
      <c r="K321" s="13">
        <f>J321/E321</f>
      </c>
      <c r="L321" s="13">
        <f>C321/B321</f>
      </c>
    </row>
    <row r="322">
      <c r="A322" t="s" s="4">
        <v>316</v>
      </c>
      <c r="B322" t="n" s="4">
        <v>2051.0</v>
      </c>
      <c r="C322" t="n" s="4">
        <v>1070.0</v>
      </c>
      <c r="D322" t="n" s="4">
        <v>2.0</v>
      </c>
      <c r="E322" t="n" s="4">
        <v>1068.0</v>
      </c>
      <c r="F322" t="n" s="4">
        <v>72.0</v>
      </c>
      <c r="G322" s="12">
        <f>F322/E322</f>
      </c>
      <c r="H322" t="n" s="4">
        <v>346.0</v>
      </c>
      <c r="I322" s="12">
        <f>H322/E322</f>
      </c>
      <c r="J322" t="n" s="4">
        <v>650.0</v>
      </c>
      <c r="K322" s="12">
        <f>J322/E322</f>
      </c>
      <c r="L322" s="12">
        <f>C322/B322</f>
      </c>
    </row>
    <row r="323">
      <c r="A323" t="s" s="8">
        <v>317</v>
      </c>
      <c r="B323" t="n" s="8">
        <v>1445.0</v>
      </c>
      <c r="C323" t="n" s="8">
        <v>960.0</v>
      </c>
      <c r="D323" t="n" s="8">
        <v>1.0</v>
      </c>
      <c r="E323" t="n" s="8">
        <v>959.0</v>
      </c>
      <c r="F323" t="n" s="8">
        <v>58.0</v>
      </c>
      <c r="G323" s="13">
        <f>F323/E323</f>
      </c>
      <c r="H323" t="n" s="8">
        <v>388.0</v>
      </c>
      <c r="I323" s="13">
        <f>H323/E323</f>
      </c>
      <c r="J323" t="n" s="8">
        <v>513.0</v>
      </c>
      <c r="K323" s="13">
        <f>J323/E323</f>
      </c>
      <c r="L323" s="13">
        <f>C323/B323</f>
      </c>
    </row>
    <row r="324">
      <c r="A324" t="s" s="4">
        <v>318</v>
      </c>
      <c r="B324" t="n" s="4">
        <v>1930.0</v>
      </c>
      <c r="C324" t="n" s="4">
        <v>1096.0</v>
      </c>
      <c r="D324" t="n" s="4">
        <v>1.0</v>
      </c>
      <c r="E324" t="n" s="4">
        <v>1095.0</v>
      </c>
      <c r="F324" t="n" s="4">
        <v>80.0</v>
      </c>
      <c r="G324" s="12">
        <f>F324/E324</f>
      </c>
      <c r="H324" t="n" s="4">
        <v>572.0</v>
      </c>
      <c r="I324" s="12">
        <f>H324/E324</f>
      </c>
      <c r="J324" t="n" s="4">
        <v>443.0</v>
      </c>
      <c r="K324" s="12">
        <f>J324/E324</f>
      </c>
      <c r="L324" s="12">
        <f>C324/B324</f>
      </c>
    </row>
    <row r="325">
      <c r="A325" t="s" s="8">
        <v>319</v>
      </c>
      <c r="B325" t="n" s="8">
        <v>1113.0</v>
      </c>
      <c r="C325" t="n" s="8">
        <v>754.0</v>
      </c>
      <c r="D325" t="n" s="8">
        <v>0.0</v>
      </c>
      <c r="E325" t="n" s="8">
        <v>754.0</v>
      </c>
      <c r="F325" t="n" s="8">
        <v>30.0</v>
      </c>
      <c r="G325" s="13">
        <f>F325/E325</f>
      </c>
      <c r="H325" t="n" s="8">
        <v>320.0</v>
      </c>
      <c r="I325" s="13">
        <f>H325/E325</f>
      </c>
      <c r="J325" t="n" s="8">
        <v>404.0</v>
      </c>
      <c r="K325" s="13">
        <f>J325/E325</f>
      </c>
      <c r="L325" s="13">
        <f>C325/B325</f>
      </c>
    </row>
    <row r="326">
      <c r="A326" t="s" s="4">
        <v>320</v>
      </c>
      <c r="B326" t="n" s="4">
        <v>7493.0</v>
      </c>
      <c r="C326" t="n" s="4">
        <v>4467.0</v>
      </c>
      <c r="D326" t="n" s="4">
        <v>1.0</v>
      </c>
      <c r="E326" t="n" s="4">
        <v>4466.0</v>
      </c>
      <c r="F326" t="n" s="4">
        <v>250.0</v>
      </c>
      <c r="G326" s="12">
        <f>F326/E326</f>
      </c>
      <c r="H326" t="n" s="4">
        <v>2296.0</v>
      </c>
      <c r="I326" s="12">
        <f>H326/E326</f>
      </c>
      <c r="J326" t="n" s="4">
        <v>1920.0</v>
      </c>
      <c r="K326" s="12">
        <f>J326/E326</f>
      </c>
      <c r="L326" s="12">
        <f>C326/B326</f>
      </c>
    </row>
    <row r="327">
      <c r="A327" t="s" s="8">
        <v>321</v>
      </c>
      <c r="B327" t="n" s="8">
        <v>12331.0</v>
      </c>
      <c r="C327" t="n" s="8">
        <v>6278.0</v>
      </c>
      <c r="D327" t="n" s="8">
        <v>5.0</v>
      </c>
      <c r="E327" t="n" s="8">
        <v>6273.0</v>
      </c>
      <c r="F327" t="n" s="8">
        <v>353.0</v>
      </c>
      <c r="G327" s="13">
        <f>F327/E327</f>
      </c>
      <c r="H327" t="n" s="8">
        <v>3051.0</v>
      </c>
      <c r="I327" s="13">
        <f>H327/E327</f>
      </c>
      <c r="J327" t="n" s="8">
        <v>2869.0</v>
      </c>
      <c r="K327" s="13">
        <f>J327/E327</f>
      </c>
      <c r="L327" s="13">
        <f>C327/B327</f>
      </c>
    </row>
    <row r="328">
      <c r="A328" t="s" s="4">
        <v>322</v>
      </c>
      <c r="B328" t="n" s="4">
        <v>331.0</v>
      </c>
      <c r="C328" t="n" s="4">
        <v>162.0</v>
      </c>
      <c r="D328" t="n" s="4">
        <v>0.0</v>
      </c>
      <c r="E328" t="n" s="4">
        <v>162.0</v>
      </c>
      <c r="F328" t="n" s="4">
        <v>1.0</v>
      </c>
      <c r="G328" s="12">
        <f>F328/E328</f>
      </c>
      <c r="H328" t="n" s="4">
        <v>53.0</v>
      </c>
      <c r="I328" s="12">
        <f>H328/E328</f>
      </c>
      <c r="J328" t="n" s="4">
        <v>108.0</v>
      </c>
      <c r="K328" s="12">
        <f>J328/E328</f>
      </c>
      <c r="L328" s="12">
        <f>C328/B328</f>
      </c>
    </row>
    <row r="329">
      <c r="A329" t="s" s="8">
        <v>323</v>
      </c>
      <c r="B329" t="n" s="8">
        <v>438.0</v>
      </c>
      <c r="C329" t="n" s="8">
        <v>182.0</v>
      </c>
      <c r="D329" t="n" s="8">
        <v>0.0</v>
      </c>
      <c r="E329" t="n" s="8">
        <v>182.0</v>
      </c>
      <c r="F329" t="n" s="8">
        <v>1.0</v>
      </c>
      <c r="G329" s="13">
        <f>F329/E329</f>
      </c>
      <c r="H329" t="n" s="8">
        <v>36.0</v>
      </c>
      <c r="I329" s="13">
        <f>H329/E329</f>
      </c>
      <c r="J329" t="n" s="8">
        <v>145.0</v>
      </c>
      <c r="K329" s="13">
        <f>J329/E329</f>
      </c>
      <c r="L329" s="13">
        <f>C329/B329</f>
      </c>
    </row>
    <row r="330">
      <c r="A330" t="s" s="4">
        <v>324</v>
      </c>
      <c r="B330" t="n" s="4">
        <v>10009.0</v>
      </c>
      <c r="C330" t="n" s="4">
        <v>5209.0</v>
      </c>
      <c r="D330" t="n" s="4">
        <v>1.0</v>
      </c>
      <c r="E330" t="n" s="4">
        <v>5208.0</v>
      </c>
      <c r="F330" t="n" s="4">
        <v>251.0</v>
      </c>
      <c r="G330" s="12">
        <f>F330/E330</f>
      </c>
      <c r="H330" t="n" s="4">
        <v>3370.0</v>
      </c>
      <c r="I330" s="12">
        <f>H330/E330</f>
      </c>
      <c r="J330" t="n" s="4">
        <v>1587.0</v>
      </c>
      <c r="K330" s="12">
        <f>J330/E330</f>
      </c>
      <c r="L330" s="12">
        <f>C330/B330</f>
      </c>
    </row>
    <row r="331">
      <c r="A331" t="s" s="8">
        <v>325</v>
      </c>
      <c r="B331" t="n" s="8">
        <v>518.0</v>
      </c>
      <c r="C331" t="n" s="8">
        <v>267.0</v>
      </c>
      <c r="D331" t="n" s="8">
        <v>0.0</v>
      </c>
      <c r="E331" t="n" s="8">
        <v>267.0</v>
      </c>
      <c r="F331" t="n" s="8">
        <v>6.0</v>
      </c>
      <c r="G331" s="13">
        <f>F331/E331</f>
      </c>
      <c r="H331" t="n" s="8">
        <v>123.0</v>
      </c>
      <c r="I331" s="13">
        <f>H331/E331</f>
      </c>
      <c r="J331" t="n" s="8">
        <v>138.0</v>
      </c>
      <c r="K331" s="13">
        <f>J331/E331</f>
      </c>
      <c r="L331" s="13">
        <f>C331/B331</f>
      </c>
    </row>
    <row r="332">
      <c r="A332" t="s" s="9">
        <v>313</v>
      </c>
      <c r="B332" s="7">
        <f>SUM(B320:B331)</f>
      </c>
      <c r="C332" s="7">
        <f>SUM(C320:C331)</f>
      </c>
      <c r="D332" s="7">
        <f>SUM(D320:D331)</f>
      </c>
      <c r="E332" s="7">
        <f>SUM(E320:E331)</f>
      </c>
      <c r="F332" s="7">
        <f>SUM(F320:F331)</f>
      </c>
      <c r="G332" s="14">
        <f>F332/E332</f>
      </c>
      <c r="H332" s="7">
        <f>SUM(H320:H331)</f>
      </c>
      <c r="I332" s="14">
        <f>H332/E332</f>
      </c>
      <c r="J332" s="7">
        <f>SUM(J320:J331)</f>
      </c>
      <c r="K332" s="14">
        <f>J332/E332</f>
      </c>
      <c r="L332" s="14">
        <f>C332/B332</f>
      </c>
    </row>
    <row r="333"/>
    <row r="334"/>
    <row r="335">
      <c r="A335" t="s" s="7">
        <v>10</v>
      </c>
      <c r="B335" s="7">
        <f>B20+B54+B93+B169+B178+B197+B256+B306+B317+B332</f>
      </c>
      <c r="C335" s="7">
        <f>C20+C54+C93+C169+C178+C197+C256+C306+C317+C332</f>
      </c>
      <c r="D335" s="7">
        <f>D20+D54+D93+D169+D178+D197+D256+D306+D317+D332</f>
      </c>
      <c r="E335" s="7">
        <f>E20+E54+E93+E169+E178+E197+E256+E306+E317+E332</f>
      </c>
      <c r="F335" s="7">
        <f>F20+F54+F93+F169+F178+F197+F256+F306+F317+F332</f>
      </c>
      <c r="G335" s="14">
        <f>F335/E335</f>
      </c>
      <c r="H335" s="7">
        <f>H20+H54+H93+H169+H178+H197+H256+H306+H317+H332</f>
      </c>
      <c r="I335" s="14">
        <f>H335/E335</f>
      </c>
      <c r="J335" s="7">
        <f>J20+J54+J93+J169+J178+J197+J256+J306+J317+J332</f>
      </c>
      <c r="K335" s="14">
        <f>J335/E335</f>
      </c>
      <c r="L335" s="14">
        <f>C335/B335</f>
      </c>
    </row>
  </sheetData>
  <mergeCells count="1">
    <mergeCell ref="A1:L1"/>
  </mergeCells>
  <pageMargins left="0.70866141732283472" right="0.70866141732283472" top="0.74803149606299213" bottom="0.74803149606299213" header="0.31496062992125984" footer="0.31496062992125984"/>
  <pageSetup scale="95" orientation="portrait" r:id="rId1"/>
  <headerFooter>
    <oddHeader>&amp;LCanton de Vaud&amp;CVotations(s)</oddHeader>
    <oddFooter>&amp;C&amp;8Page &amp;P / &amp;D /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Résultats du</vt:lpstr>
      <vt:lpstr>Modèle</vt:lpstr>
      <vt:lpstr>Modèle_FED</vt:lpstr>
      <vt:lpstr>'Résultats du'!Print_Titles</vt:lpstr>
    </vt:vector>
  </TitlesOfParts>
  <Company>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2002-09-13T11:13:58Z</dcterms:created>
  <dc:creator>Aboukli</dc:creator>
  <cp:lastModifiedBy>Curty Pierre-Alain</cp:lastModifiedBy>
  <cp:lastPrinted>2002-09-22T16:09:38Z</cp:lastPrinted>
  <dcterms:modified xsi:type="dcterms:W3CDTF">2023-05-05T08:30:41Z</dcterms:modified>
</cp:coreProperties>
</file>